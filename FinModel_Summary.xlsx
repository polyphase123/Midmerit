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GATP_Summary" sheetId="2" state="visible" r:id="rId2"/>
    <sheet xmlns:r="http://schemas.openxmlformats.org/officeDocument/2006/relationships" name="GATP_Composition" sheetId="3" state="visible" r:id="rId3"/>
    <sheet xmlns:r="http://schemas.openxmlformats.org/officeDocument/2006/relationships" name="Rates" sheetId="4" state="visible" r:id="rId4"/>
    <sheet xmlns:r="http://schemas.openxmlformats.org/officeDocument/2006/relationships" name="README" sheetId="5" state="visible" r:id="rId5"/>
    <sheet xmlns:r="http://schemas.openxmlformats.org/officeDocument/2006/relationships" name="Parameters" sheetId="6" state="visible" r:id="rId6"/>
    <sheet xmlns:r="http://schemas.openxmlformats.org/officeDocument/2006/relationships" name="TOR_Conditions" sheetId="7" state="visible" r:id="rId7"/>
    <sheet xmlns:r="http://schemas.openxmlformats.org/officeDocument/2006/relationships" name="Historical_CF" sheetId="8" state="visible" r:id="rId8"/>
    <sheet xmlns:r="http://schemas.openxmlformats.org/officeDocument/2006/relationships" name="References" sheetId="9" state="visible" r:id="rId9"/>
  </sheets>
  <definedNames/>
  <calcPr calcId="124519" fullCalcOnLoad="1"/>
</workbook>
</file>

<file path=xl/styles.xml><?xml version="1.0" encoding="utf-8"?>
<styleSheet xmlns="http://schemas.openxmlformats.org/spreadsheetml/2006/main">
  <numFmts count="4">
    <numFmt numFmtId="164" formatCode="0.0%"/>
    <numFmt numFmtId="165" formatCode="0.0000"/>
    <numFmt numFmtId="166" formatCode="+0.0000;-0.0000"/>
    <numFmt numFmtId="167" formatCode="0.000"/>
  </numFmts>
  <fonts count="44">
    <font>
      <name val="Calibri"/>
      <family val="2"/>
      <color theme="1"/>
      <sz val="11"/>
      <scheme val="minor"/>
    </font>
    <font>
      <b val="1"/>
      <color rgb="001F3864"/>
      <sz val="15"/>
    </font>
    <font>
      <b val="1"/>
      <color rgb="001F3864"/>
      <sz val="12"/>
    </font>
    <font>
      <b val="1"/>
      <color rgb="001F3864"/>
      <sz val="16"/>
    </font>
    <font>
      <b val="1"/>
      <color rgb="00FFFFFF"/>
      <sz val="12"/>
    </font>
    <font>
      <b val="1"/>
      <color rgb="00FFFFFF"/>
    </font>
    <font>
      <b val="1"/>
      <color rgb="001F3864"/>
    </font>
    <font>
      <b val="1"/>
      <color rgb="00375623"/>
      <sz val="12"/>
    </font>
    <font>
      <color rgb="00C55A11"/>
    </font>
    <font>
      <b val="1"/>
      <color rgb="001F3864"/>
      <sz val="14"/>
    </font>
    <font>
      <b val="1"/>
    </font>
    <font>
      <b val="1"/>
      <color rgb="001F4E79"/>
    </font>
    <font>
      <b val="1"/>
      <color rgb="00833C0B"/>
    </font>
    <font>
      <b val="1"/>
      <color rgb="00375623"/>
    </font>
    <font>
      <b val="1"/>
      <color rgb="00000000"/>
    </font>
    <font>
      <i val="1"/>
      <color rgb="00595959"/>
    </font>
    <font>
      <b val="1"/>
      <color rgb="001F3864"/>
      <sz val="9"/>
    </font>
    <font>
      <b val="1"/>
      <color rgb="00FFFFFF"/>
      <sz val="11"/>
    </font>
    <font>
      <color rgb="00808080"/>
      <sz val="9"/>
    </font>
    <font/>
    <font>
      <sz val="9"/>
    </font>
    <font>
      <color rgb="001F4E79"/>
    </font>
    <font>
      <color rgb="00000000"/>
    </font>
    <font>
      <color rgb="00375623"/>
    </font>
    <font>
      <color rgb="00833C0B"/>
    </font>
    <font>
      <name val="Calibri"/>
      <b val="1"/>
      <color rgb="00FFFFFF"/>
      <sz val="16"/>
    </font>
    <font>
      <name val="Calibri"/>
      <color rgb="00CFE3F2"/>
      <sz val="10"/>
    </font>
    <font>
      <name val="Calibri"/>
      <b val="1"/>
      <color rgb="0052514E"/>
      <sz val="11"/>
    </font>
    <font>
      <name val="Calibri"/>
      <b val="1"/>
      <color rgb="001E7B4F"/>
      <sz val="20"/>
    </font>
    <font>
      <name val="Calibri"/>
      <color rgb="0052514E"/>
      <sz val="9"/>
    </font>
    <font>
      <name val="Calibri"/>
      <b val="1"/>
      <color rgb="00FFFFFF"/>
      <sz val="9"/>
    </font>
    <font>
      <name val="Calibri"/>
      <i val="1"/>
      <color rgb="0052514E"/>
      <sz val="9"/>
    </font>
    <font>
      <name val="Calibri"/>
      <b val="1"/>
      <color rgb="001F3A5F"/>
      <sz val="12"/>
    </font>
    <font>
      <name val="Calibri"/>
      <color rgb="000B0B0B"/>
      <sz val="10"/>
    </font>
    <font>
      <name val="Calibri"/>
      <b val="1"/>
      <sz val="10"/>
    </font>
    <font>
      <name val="Calibri"/>
      <b val="1"/>
      <color rgb="001E7B4F"/>
      <sz val="11"/>
    </font>
    <font>
      <name val="Calibri"/>
      <b val="1"/>
      <color rgb="001E7B4F"/>
      <sz val="9"/>
    </font>
    <font>
      <name val="Calibri"/>
      <b val="1"/>
      <color rgb="001F3A5F"/>
    </font>
    <font>
      <name val="Calibri"/>
      <color rgb="0052514E"/>
      <sz val="10"/>
    </font>
    <font>
      <name val="Calibri"/>
      <b val="1"/>
      <color rgb="00FFFFFF"/>
    </font>
    <font>
      <name val="Calibri"/>
      <b val="1"/>
      <color rgb="000B0B0B"/>
      <sz val="10"/>
    </font>
    <font>
      <name val="Calibri"/>
      <sz val="10"/>
    </font>
    <font>
      <name val="Calibri"/>
      <b val="1"/>
      <color rgb="001E7B4F"/>
      <sz val="10"/>
    </font>
    <font>
      <name val="Calibri"/>
      <b val="1"/>
      <color rgb="001F3A5F"/>
      <sz val="11"/>
    </font>
  </fonts>
  <fills count="22">
    <fill>
      <patternFill/>
    </fill>
    <fill>
      <patternFill patternType="gray125"/>
    </fill>
    <fill>
      <patternFill patternType="solid">
        <fgColor rgb="002F5597"/>
      </patternFill>
    </fill>
    <fill>
      <patternFill patternType="solid">
        <fgColor rgb="00548235"/>
      </patternFill>
    </fill>
    <fill>
      <patternFill patternType="solid">
        <fgColor rgb="001F3864"/>
      </patternFill>
    </fill>
    <fill>
      <patternFill patternType="solid">
        <fgColor rgb="00DDEBF7"/>
      </patternFill>
    </fill>
    <fill>
      <patternFill patternType="solid">
        <fgColor rgb="00E2EFDA"/>
      </patternFill>
    </fill>
    <fill>
      <patternFill patternType="solid">
        <fgColor rgb="00F2F2F2"/>
      </patternFill>
    </fill>
    <fill>
      <patternFill patternType="solid">
        <fgColor rgb="00D9E1F2"/>
      </patternFill>
    </fill>
    <fill>
      <patternFill patternType="solid">
        <fgColor rgb="00FFF2CC"/>
      </patternFill>
    </fill>
    <fill>
      <patternFill patternType="solid">
        <fgColor rgb="00F8CBAD"/>
      </patternFill>
    </fill>
    <fill>
      <patternFill patternType="solid">
        <fgColor rgb="001F3A5F"/>
        <bgColor rgb="001F3A5F"/>
      </patternFill>
    </fill>
    <fill>
      <patternFill patternType="solid">
        <fgColor rgb="00E3F2EA"/>
        <bgColor rgb="00E3F2EA"/>
      </patternFill>
    </fill>
    <fill>
      <patternFill patternType="solid">
        <fgColor rgb="001E7B4F"/>
        <bgColor rgb="001E7B4F"/>
      </patternFill>
    </fill>
    <fill>
      <patternFill patternType="solid">
        <fgColor rgb="002A7F8E"/>
        <bgColor rgb="002A7F8E"/>
      </patternFill>
    </fill>
    <fill>
      <patternFill patternType="solid">
        <fgColor rgb="00E6F0FB"/>
        <bgColor rgb="00E6F0FB"/>
      </patternFill>
    </fill>
    <fill>
      <patternFill patternType="solid">
        <fgColor rgb="00C9DDF5"/>
        <bgColor rgb="00C9DDF5"/>
      </patternFill>
    </fill>
    <fill>
      <patternFill patternType="solid">
        <fgColor rgb="00FDEDE5"/>
        <bgColor rgb="00FDEDE5"/>
      </patternFill>
    </fill>
    <fill>
      <patternFill patternType="solid">
        <fgColor rgb="00F9D2C0"/>
        <bgColor rgb="00F9D2C0"/>
      </patternFill>
    </fill>
    <fill>
      <patternFill patternType="solid">
        <fgColor rgb="00FDF1DC"/>
        <bgColor rgb="00FDF1DC"/>
      </patternFill>
    </fill>
    <fill>
      <patternFill patternType="solid">
        <fgColor rgb="00F2F4F7"/>
        <bgColor rgb="00F2F4F7"/>
      </patternFill>
    </fill>
    <fill>
      <patternFill patternType="solid">
        <fgColor rgb="00FFF2CC"/>
        <b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style="thin">
        <color rgb="00D5D9DF"/>
      </left>
      <right style="thin">
        <color rgb="00D5D9DF"/>
      </right>
      <top style="thin">
        <color rgb="00D5D9DF"/>
      </top>
      <bottom style="thin">
        <color rgb="00D5D9DF"/>
      </bottom>
    </border>
  </borders>
  <cellStyleXfs count="1">
    <xf numFmtId="0" fontId="0" fillId="0" borderId="0"/>
  </cellStyleXfs>
  <cellXfs count="111">
    <xf numFmtId="0" fontId="0"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0" applyAlignment="1" pivotButton="0" quotePrefix="0" xfId="0">
      <alignment horizontal="center" vertical="center" wrapText="1"/>
    </xf>
    <xf numFmtId="0" fontId="4" fillId="3" borderId="0" applyAlignment="1" pivotButton="0" quotePrefix="0" xfId="0">
      <alignment horizontal="center" vertical="center" wrapText="1"/>
    </xf>
    <xf numFmtId="0" fontId="5" fillId="4" borderId="1" applyAlignment="1" pivotButton="0" quotePrefix="0" xfId="0">
      <alignment horizontal="center" vertical="center" wrapText="1"/>
    </xf>
    <xf numFmtId="0" fontId="6" fillId="5" borderId="0" pivotButton="0" quotePrefix="0" xfId="0"/>
    <xf numFmtId="0" fontId="0" fillId="5" borderId="0" pivotButton="0" quotePrefix="0" xfId="0"/>
    <xf numFmtId="0" fontId="0" fillId="0" borderId="1" applyAlignment="1" pivotButton="0" quotePrefix="0" xfId="0">
      <alignment horizontal="left" vertical="center"/>
    </xf>
    <xf numFmtId="0" fontId="0" fillId="0" borderId="1" applyAlignment="1" pivotButton="0" quotePrefix="0" xfId="0">
      <alignment horizontal="center" vertical="center"/>
    </xf>
    <xf numFmtId="164" fontId="0" fillId="0" borderId="1" applyAlignment="1" pivotButton="0" quotePrefix="0" xfId="0">
      <alignment horizontal="center" vertical="center"/>
    </xf>
    <xf numFmtId="2" fontId="7" fillId="6" borderId="1" applyAlignment="1" pivotButton="0" quotePrefix="0" xfId="0">
      <alignment horizontal="center" vertical="center"/>
    </xf>
    <xf numFmtId="2" fontId="8" fillId="0" borderId="1" applyAlignment="1" pivotButton="0" quotePrefix="0" xfId="0">
      <alignment horizontal="center" vertical="center"/>
    </xf>
    <xf numFmtId="2" fontId="0" fillId="7" borderId="1" applyAlignment="1" pivotButton="0" quotePrefix="0" xfId="0">
      <alignment horizontal="center" vertical="center"/>
    </xf>
    <xf numFmtId="2" fontId="0" fillId="0" borderId="1" applyAlignment="1" pivotButton="0" quotePrefix="0" xfId="0">
      <alignment horizontal="center" vertical="center"/>
    </xf>
    <xf numFmtId="3" fontId="0" fillId="0" borderId="1" applyAlignment="1" pivotButton="0" quotePrefix="0" xfId="0">
      <alignment horizontal="center" vertical="center"/>
    </xf>
    <xf numFmtId="0" fontId="1" fillId="0" borderId="0" applyAlignment="1" pivotButton="0" quotePrefix="0" xfId="0">
      <alignment vertical="top" wrapText="1"/>
    </xf>
    <xf numFmtId="0" fontId="2" fillId="0" borderId="0" applyAlignment="1" pivotButton="0" quotePrefix="0" xfId="0">
      <alignment vertical="top" wrapText="1"/>
    </xf>
    <xf numFmtId="0" fontId="9" fillId="0" borderId="0" pivotButton="0" quotePrefix="0" xfId="0"/>
    <xf numFmtId="0" fontId="0" fillId="0" borderId="1" applyAlignment="1" pivotButton="0" quotePrefix="0" xfId="0">
      <alignment vertical="top" wrapText="1"/>
    </xf>
    <xf numFmtId="164" fontId="0" fillId="0" borderId="1" applyAlignment="1" pivotButton="0" quotePrefix="0" xfId="0">
      <alignment vertical="top" wrapText="1"/>
    </xf>
    <xf numFmtId="165" fontId="10" fillId="6" borderId="1" applyAlignment="1" pivotButton="0" quotePrefix="0" xfId="0">
      <alignment vertical="top" wrapText="1"/>
    </xf>
    <xf numFmtId="166" fontId="0" fillId="0" borderId="1" applyAlignment="1" pivotButton="0" quotePrefix="0" xfId="0">
      <alignment vertical="top" wrapText="1"/>
    </xf>
    <xf numFmtId="0" fontId="2" fillId="0" borderId="0" pivotButton="0" quotePrefix="0" xfId="0"/>
    <xf numFmtId="0" fontId="0" fillId="8" borderId="1" pivotButton="0" quotePrefix="0" xfId="0"/>
    <xf numFmtId="165" fontId="0" fillId="8" borderId="1" pivotButton="0" quotePrefix="0" xfId="0"/>
    <xf numFmtId="165" fontId="10" fillId="8" borderId="1" pivotButton="0" quotePrefix="0" xfId="0"/>
    <xf numFmtId="164" fontId="0" fillId="8" borderId="1" pivotButton="0" quotePrefix="0" xfId="0"/>
    <xf numFmtId="0" fontId="0" fillId="6" borderId="1" pivotButton="0" quotePrefix="0" xfId="0"/>
    <xf numFmtId="165" fontId="0" fillId="6" borderId="1" pivotButton="0" quotePrefix="0" xfId="0"/>
    <xf numFmtId="165" fontId="10" fillId="6" borderId="1" pivotButton="0" quotePrefix="0" xfId="0"/>
    <xf numFmtId="164" fontId="0" fillId="6" borderId="1" pivotButton="0" quotePrefix="0" xfId="0"/>
    <xf numFmtId="0" fontId="10" fillId="0" borderId="0" pivotButton="0" quotePrefix="0" xfId="0"/>
    <xf numFmtId="0" fontId="11" fillId="9" borderId="1" applyAlignment="1" pivotButton="0" quotePrefix="0" xfId="0">
      <alignment horizontal="center" vertical="center" wrapText="1"/>
    </xf>
    <xf numFmtId="0" fontId="12" fillId="10" borderId="1" applyAlignment="1" pivotButton="0" quotePrefix="0" xfId="0">
      <alignment horizontal="center" vertical="center" wrapText="1"/>
    </xf>
    <xf numFmtId="0" fontId="13" fillId="6" borderId="1" applyAlignment="1" pivotButton="0" quotePrefix="0" xfId="0">
      <alignment horizontal="center" vertical="center" wrapText="1"/>
    </xf>
    <xf numFmtId="0" fontId="14" fillId="7" borderId="1" applyAlignment="1" pivotButton="0" quotePrefix="0" xfId="0">
      <alignment horizontal="center" vertical="center" wrapText="1"/>
    </xf>
    <xf numFmtId="0" fontId="15" fillId="0" borderId="0" pivotButton="0" quotePrefix="0" xfId="0"/>
    <xf numFmtId="0" fontId="0" fillId="0" borderId="4" pivotButton="0" quotePrefix="0" xfId="0"/>
    <xf numFmtId="0" fontId="16" fillId="8" borderId="1" applyAlignment="1" pivotButton="0" quotePrefix="0" xfId="0">
      <alignment horizontal="center" vertical="center" wrapText="1"/>
    </xf>
    <xf numFmtId="0" fontId="16" fillId="6" borderId="1" applyAlignment="1" pivotButton="0" quotePrefix="0" xfId="0">
      <alignment horizontal="center" vertical="center" wrapText="1"/>
    </xf>
    <xf numFmtId="0" fontId="17" fillId="4" borderId="0" pivotButton="0" quotePrefix="0" xfId="0"/>
    <xf numFmtId="0" fontId="0" fillId="4" borderId="0" pivotButton="0" quotePrefix="0" xfId="0"/>
    <xf numFmtId="0" fontId="18" fillId="0" borderId="1" applyAlignment="1" pivotButton="0" quotePrefix="0" xfId="0">
      <alignment vertical="center" wrapText="1"/>
    </xf>
    <xf numFmtId="0" fontId="19" fillId="0" borderId="1" applyAlignment="1" pivotButton="0" quotePrefix="0" xfId="0">
      <alignment vertical="center" wrapText="1"/>
    </xf>
    <xf numFmtId="0" fontId="0" fillId="0" borderId="1" applyAlignment="1" pivotButton="0" quotePrefix="0" xfId="0">
      <alignment horizontal="center" vertical="center" wrapText="1"/>
    </xf>
    <xf numFmtId="0" fontId="20" fillId="0" borderId="1" applyAlignment="1" pivotButton="0" quotePrefix="0" xfId="0">
      <alignment vertical="center" wrapText="1"/>
    </xf>
    <xf numFmtId="2" fontId="21" fillId="9" borderId="1" applyAlignment="1" pivotButton="0" quotePrefix="0" xfId="0">
      <alignment horizontal="center" vertical="center" wrapText="1"/>
    </xf>
    <xf numFmtId="0" fontId="21" fillId="9" borderId="1" applyAlignment="1" pivotButton="0" quotePrefix="0" xfId="0">
      <alignment horizontal="center" vertical="center" wrapText="1"/>
    </xf>
    <xf numFmtId="3" fontId="22" fillId="7" borderId="1" applyAlignment="1" pivotButton="0" quotePrefix="0" xfId="0">
      <alignment horizontal="center" vertical="center" wrapText="1"/>
    </xf>
    <xf numFmtId="2" fontId="22" fillId="7" borderId="1" applyAlignment="1" pivotButton="0" quotePrefix="0" xfId="0">
      <alignment horizontal="center" vertical="center" wrapText="1"/>
    </xf>
    <xf numFmtId="164" fontId="21" fillId="9" borderId="1" applyAlignment="1" pivotButton="0" quotePrefix="0" xfId="0">
      <alignment horizontal="center" vertical="center" wrapText="1"/>
    </xf>
    <xf numFmtId="164" fontId="22" fillId="7" borderId="1" applyAlignment="1" pivotButton="0" quotePrefix="0" xfId="0">
      <alignment horizontal="center" vertical="center" wrapText="1"/>
    </xf>
    <xf numFmtId="0" fontId="22" fillId="7" borderId="1" applyAlignment="1" pivotButton="0" quotePrefix="0" xfId="0">
      <alignment horizontal="center" vertical="center" wrapText="1"/>
    </xf>
    <xf numFmtId="2" fontId="23" fillId="6" borderId="1" applyAlignment="1" pivotButton="0" quotePrefix="0" xfId="0">
      <alignment horizontal="center" vertical="center" wrapText="1"/>
    </xf>
    <xf numFmtId="0" fontId="10" fillId="0" borderId="1" applyAlignment="1" pivotButton="0" quotePrefix="0" xfId="0">
      <alignment vertical="center" wrapText="1"/>
    </xf>
    <xf numFmtId="2" fontId="24" fillId="10" borderId="1" applyAlignment="1" pivotButton="0" quotePrefix="0" xfId="0">
      <alignment horizontal="center" vertical="center" wrapText="1"/>
    </xf>
    <xf numFmtId="3" fontId="21" fillId="9" borderId="1" applyAlignment="1" pivotButton="0" quotePrefix="0" xfId="0">
      <alignment horizontal="center" vertical="center" wrapText="1"/>
    </xf>
    <xf numFmtId="164" fontId="23" fillId="6" borderId="1" applyAlignment="1" pivotButton="0" quotePrefix="0" xfId="0">
      <alignment horizontal="center" vertical="center" wrapText="1"/>
    </xf>
    <xf numFmtId="165" fontId="21" fillId="9" borderId="1" applyAlignment="1" pivotButton="0" quotePrefix="0" xfId="0">
      <alignment horizontal="center" vertical="center" wrapText="1"/>
    </xf>
    <xf numFmtId="165" fontId="12" fillId="10" borderId="1" applyAlignment="1" pivotButton="0" quotePrefix="0" xfId="0">
      <alignment horizontal="center" vertical="center" wrapText="1"/>
    </xf>
    <xf numFmtId="165" fontId="23" fillId="6" borderId="1" applyAlignment="1" pivotButton="0" quotePrefix="0" xfId="0">
      <alignment horizontal="center" vertical="center" wrapText="1"/>
    </xf>
    <xf numFmtId="0" fontId="23" fillId="6" borderId="1" applyAlignment="1" pivotButton="0" quotePrefix="0" xfId="0">
      <alignment horizontal="center" vertical="center" wrapText="1"/>
    </xf>
    <xf numFmtId="3" fontId="23" fillId="6" borderId="1" applyAlignment="1" pivotButton="0" quotePrefix="0" xfId="0">
      <alignment horizontal="center" vertical="center" wrapText="1"/>
    </xf>
    <xf numFmtId="0" fontId="0" fillId="0" borderId="1" pivotButton="0" quotePrefix="0" xfId="0"/>
    <xf numFmtId="164" fontId="0" fillId="0" borderId="1" pivotButton="0" quotePrefix="0" xfId="0"/>
    <xf numFmtId="164" fontId="11" fillId="9" borderId="0" pivotButton="0" quotePrefix="0" xfId="0"/>
    <xf numFmtId="0" fontId="5" fillId="4" borderId="1" pivotButton="0" quotePrefix="0" xfId="0"/>
    <xf numFmtId="0" fontId="25" fillId="11" borderId="0" pivotButton="0" quotePrefix="0" xfId="0"/>
    <xf numFmtId="0" fontId="0" fillId="11" borderId="0" pivotButton="0" quotePrefix="0" xfId="0"/>
    <xf numFmtId="0" fontId="26" fillId="11" borderId="0" pivotButton="0" quotePrefix="0" xfId="0"/>
    <xf numFmtId="0" fontId="27" fillId="12" borderId="0" pivotButton="0" quotePrefix="0" xfId="0"/>
    <xf numFmtId="0" fontId="0" fillId="12" borderId="0" pivotButton="0" quotePrefix="0" xfId="0"/>
    <xf numFmtId="0" fontId="28" fillId="12" borderId="0" pivotButton="0" quotePrefix="0" xfId="0"/>
    <xf numFmtId="0" fontId="29" fillId="12" borderId="0" pivotButton="0" quotePrefix="0" xfId="0"/>
    <xf numFmtId="0" fontId="30" fillId="13" borderId="0" pivotButton="0" quotePrefix="0" xfId="0"/>
    <xf numFmtId="0" fontId="0" fillId="13" borderId="0" pivotButton="0" quotePrefix="0" xfId="0"/>
    <xf numFmtId="0" fontId="31" fillId="0" borderId="0" pivotButton="0" quotePrefix="0" xfId="0"/>
    <xf numFmtId="0" fontId="32" fillId="0" borderId="0" pivotButton="0" quotePrefix="0" xfId="0"/>
    <xf numFmtId="0" fontId="30" fillId="14" borderId="5" applyAlignment="1" pivotButton="0" quotePrefix="0" xfId="0">
      <alignment horizontal="center" vertical="center" wrapText="1"/>
    </xf>
    <xf numFmtId="0" fontId="33" fillId="0" borderId="5" pivotButton="0" quotePrefix="0" xfId="0"/>
    <xf numFmtId="164" fontId="33" fillId="0" borderId="5" pivotButton="0" quotePrefix="0" xfId="0"/>
    <xf numFmtId="167" fontId="33" fillId="15" borderId="5" pivotButton="0" quotePrefix="0" xfId="0"/>
    <xf numFmtId="167" fontId="34" fillId="16" borderId="5" pivotButton="0" quotePrefix="0" xfId="0"/>
    <xf numFmtId="167" fontId="33" fillId="17" borderId="5" pivotButton="0" quotePrefix="0" xfId="0"/>
    <xf numFmtId="167" fontId="34" fillId="18" borderId="5" pivotButton="0" quotePrefix="0" xfId="0"/>
    <xf numFmtId="167" fontId="35" fillId="12" borderId="5" pivotButton="0" quotePrefix="0" xfId="0"/>
    <xf numFmtId="167" fontId="33" fillId="19" borderId="5" pivotButton="0" quotePrefix="0" xfId="0"/>
    <xf numFmtId="167" fontId="33" fillId="20" borderId="5" pivotButton="0" quotePrefix="0" xfId="0"/>
    <xf numFmtId="167" fontId="36" fillId="0" borderId="5" applyAlignment="1" pivotButton="0" quotePrefix="0" xfId="0">
      <alignment horizontal="center"/>
    </xf>
    <xf numFmtId="0" fontId="37" fillId="0" borderId="0" pivotButton="0" quotePrefix="0" xfId="0"/>
    <xf numFmtId="0" fontId="38" fillId="0" borderId="0" pivotButton="0" quotePrefix="0" xfId="0"/>
    <xf numFmtId="0" fontId="39" fillId="14" borderId="5" applyAlignment="1" pivotButton="0" quotePrefix="0" xfId="0">
      <alignment vertical="center" wrapText="1"/>
    </xf>
    <xf numFmtId="0" fontId="33" fillId="15" borderId="5" applyAlignment="1" pivotButton="0" quotePrefix="0" xfId="0">
      <alignment vertical="center" wrapText="1"/>
    </xf>
    <xf numFmtId="0" fontId="40" fillId="15" borderId="5" applyAlignment="1" pivotButton="0" quotePrefix="0" xfId="0">
      <alignment vertical="center" wrapText="1"/>
    </xf>
    <xf numFmtId="0" fontId="33" fillId="17" borderId="5" applyAlignment="1" pivotButton="0" quotePrefix="0" xfId="0">
      <alignment vertical="center" wrapText="1"/>
    </xf>
    <xf numFmtId="0" fontId="40" fillId="17" borderId="5" applyAlignment="1" pivotButton="0" quotePrefix="0" xfId="0">
      <alignment vertical="center" wrapText="1"/>
    </xf>
    <xf numFmtId="0" fontId="33" fillId="19" borderId="5" applyAlignment="1" pivotButton="0" quotePrefix="0" xfId="0">
      <alignment vertical="center" wrapText="1"/>
    </xf>
    <xf numFmtId="0" fontId="40" fillId="19" borderId="5" applyAlignment="1" pivotButton="0" quotePrefix="0" xfId="0">
      <alignment vertical="center" wrapText="1"/>
    </xf>
    <xf numFmtId="0" fontId="41" fillId="0" borderId="5" pivotButton="0" quotePrefix="0" xfId="0"/>
    <xf numFmtId="167" fontId="42" fillId="12" borderId="5" pivotButton="0" quotePrefix="0" xfId="0"/>
    <xf numFmtId="167" fontId="41" fillId="0" borderId="5" pivotButton="0" quotePrefix="0" xfId="0"/>
    <xf numFmtId="167" fontId="38" fillId="20" borderId="5" pivotButton="0" quotePrefix="0" xfId="0"/>
    <xf numFmtId="0" fontId="25" fillId="11" borderId="0" applyAlignment="1" pivotButton="0" quotePrefix="0" xfId="0">
      <alignment vertical="top" wrapText="1"/>
    </xf>
    <xf numFmtId="0" fontId="35" fillId="0" borderId="0" applyAlignment="1" pivotButton="0" quotePrefix="0" xfId="0">
      <alignment vertical="top" wrapText="1"/>
    </xf>
    <xf numFmtId="0" fontId="43" fillId="0" borderId="0" applyAlignment="1" pivotButton="0" quotePrefix="0" xfId="0">
      <alignment vertical="top" wrapText="1"/>
    </xf>
    <xf numFmtId="0" fontId="33" fillId="0" borderId="0" applyAlignment="1" pivotButton="0" quotePrefix="0" xfId="0">
      <alignment vertical="top" wrapText="1"/>
    </xf>
    <xf numFmtId="2" fontId="21" fillId="21" borderId="1" applyAlignment="1" pivotButton="0" quotePrefix="0" xfId="0">
      <alignment horizontal="center" vertical="center" wrapText="1"/>
    </xf>
    <xf numFmtId="165" fontId="12" fillId="21" borderId="1" applyAlignment="1" pivotButton="0" quotePrefix="0" xfId="0">
      <alignment horizontal="center" vertical="center" wrapText="1"/>
    </xf>
    <xf numFmtId="165" fontId="23" fillId="21" borderId="1" applyAlignment="1" pivotButton="0" quotePrefix="0" xfId="0">
      <alignment horizontal="center" vertical="center" wrapText="1"/>
    </xf>
    <xf numFmtId="167" fontId="0" fillId="21"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Fin42: GATP = CRF + OM (PhP/kWh)</a:t>
            </a:r>
          </a:p>
        </rich>
      </tx>
    </title>
    <plotArea>
      <barChart>
        <barDir val="bar"/>
        <grouping val="stacked"/>
        <ser>
          <idx val="0"/>
          <order val="0"/>
          <tx>
            <strRef>
              <f>'GATP_Summary'!J5</f>
            </strRef>
          </tx>
          <spPr>
            <a:solidFill xmlns:a="http://schemas.openxmlformats.org/drawingml/2006/main">
              <a:srgbClr val="2A78D6"/>
            </a:solidFill>
            <a:ln xmlns:a="http://schemas.openxmlformats.org/drawingml/2006/main">
              <a:solidFill>
                <a:srgbClr val="FCFCFB"/>
              </a:solidFill>
              <a:prstDash val="solid"/>
            </a:ln>
          </spPr>
          <cat>
            <numRef>
              <f>'GATP_Summary'!$A$6:$A$16</f>
            </numRef>
          </cat>
          <val>
            <numRef>
              <f>'GATP_Summary'!$J$6:$J$16</f>
            </numRef>
          </val>
        </ser>
        <ser>
          <idx val="1"/>
          <order val="1"/>
          <tx>
            <strRef>
              <f>'GATP_Summary'!M5</f>
            </strRef>
          </tx>
          <spPr>
            <a:solidFill xmlns:a="http://schemas.openxmlformats.org/drawingml/2006/main">
              <a:srgbClr val="EB6834"/>
            </a:solidFill>
            <a:ln xmlns:a="http://schemas.openxmlformats.org/drawingml/2006/main">
              <a:solidFill>
                <a:srgbClr val="FCFCFB"/>
              </a:solidFill>
              <a:prstDash val="solid"/>
            </a:ln>
          </spPr>
          <cat>
            <numRef>
              <f>'GATP_Summary'!$A$6:$A$16</f>
            </numRef>
          </cat>
          <val>
            <numRef>
              <f>'GATP_Summary'!$M$6:$M$16</f>
            </numRef>
          </val>
        </ser>
        <gapWidth val="60"/>
        <overlap val="100"/>
        <axId val="10"/>
        <axId val="100"/>
      </barChart>
      <catAx>
        <axId val="10"/>
        <scaling>
          <orientation val="maxMin"/>
        </scaling>
        <axPos val="l"/>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PhP/kWh</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Fin90: GATP = CRF + OM (PhP/kWh)</a:t>
            </a:r>
          </a:p>
        </rich>
      </tx>
    </title>
    <plotArea>
      <barChart>
        <barDir val="bar"/>
        <grouping val="stacked"/>
        <ser>
          <idx val="0"/>
          <order val="0"/>
          <tx>
            <strRef>
              <f>'GATP_Summary'!J19</f>
            </strRef>
          </tx>
          <spPr>
            <a:solidFill xmlns:a="http://schemas.openxmlformats.org/drawingml/2006/main">
              <a:srgbClr val="2A78D6"/>
            </a:solidFill>
            <a:ln xmlns:a="http://schemas.openxmlformats.org/drawingml/2006/main">
              <a:solidFill>
                <a:srgbClr val="FCFCFB"/>
              </a:solidFill>
              <a:prstDash val="solid"/>
            </a:ln>
          </spPr>
          <cat>
            <numRef>
              <f>'GATP_Summary'!$A$20:$A$30</f>
            </numRef>
          </cat>
          <val>
            <numRef>
              <f>'GATP_Summary'!$J$20:$J$30</f>
            </numRef>
          </val>
        </ser>
        <ser>
          <idx val="1"/>
          <order val="1"/>
          <tx>
            <strRef>
              <f>'GATP_Summary'!M19</f>
            </strRef>
          </tx>
          <spPr>
            <a:solidFill xmlns:a="http://schemas.openxmlformats.org/drawingml/2006/main">
              <a:srgbClr val="EB6834"/>
            </a:solidFill>
            <a:ln xmlns:a="http://schemas.openxmlformats.org/drawingml/2006/main">
              <a:solidFill>
                <a:srgbClr val="FCFCFB"/>
              </a:solidFill>
              <a:prstDash val="solid"/>
            </a:ln>
          </spPr>
          <cat>
            <numRef>
              <f>'GATP_Summary'!$A$20:$A$30</f>
            </numRef>
          </cat>
          <val>
            <numRef>
              <f>'GATP_Summary'!$M$20:$M$30</f>
            </numRef>
          </val>
        </ser>
        <gapWidth val="60"/>
        <overlap val="100"/>
        <axId val="10"/>
        <axId val="100"/>
      </barChart>
      <catAx>
        <axId val="10"/>
        <scaling>
          <orientation val="maxMin"/>
        </scaling>
        <axPos val="l"/>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PhP/kWh</a:t>
                </a:r>
              </a:p>
            </rich>
          </tx>
        </title>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Franz</author>
  </authors>
  <commentList>
    <comment ref="F8" authorId="0" shapeId="0">
      <text>
        <t>Unit capacity — Fin42, Lot 1 Existing CCGT - Luzon
Source: TOR lot size split into standard units (CCGT 500 MW, OCGT 220 MW, gas engine 20 MW; draft Resolution 2). Gas engines grouped into ≤20 blocks because the model accepts at most 20 units; the per-kW rate is unchanged.</t>
      </text>
    </comment>
    <comment ref="G8" authorId="0" shapeId="0">
      <text>
        <t>Unit capacity — Fin42, Lot 2 Existing CCGT - Luzon
Source: TOR lot size split into standard units (CCGT 500 MW, OCGT 220 MW, gas engine 20 MW; draft Resolution 2). Gas engines grouped into ≤20 blocks because the model accepts at most 20 units; the per-kW rate is unchanged.</t>
      </text>
    </comment>
    <comment ref="H8" authorId="0" shapeId="0">
      <text>
        <t>Unit capacity — Fin42, New-Build CCGT - Luzon 1000MW
Source: TOR lot size split into standard units (CCGT 500 MW, OCGT 220 MW, gas engine 20 MW; draft Resolution 2). Gas engines grouped into ≤20 blocks because the model accepts at most 20 units; the per-kW rate is unchanged.</t>
      </text>
    </comment>
    <comment ref="I8" authorId="0" shapeId="0">
      <text>
        <t>Unit capacity — Fin42, New-Build OCGT - Luzon 1000MW
Source: TOR lot size split into standard units (CCGT 500 MW, OCGT 220 MW, gas engine 20 MW; draft Resolution 2). Gas engines grouped into ≤20 blocks because the model accepts at most 20 units; the per-kW rate is unchanged.</t>
      </text>
    </comment>
    <comment ref="J8" authorId="0" shapeId="0">
      <text>
        <t>Unit capacity — Fin42, New-Build Gas Engine - Luzon 1000MW
Source: TOR lot size split into standard units (CCGT 500 MW, OCGT 220 MW, gas engine 20 MW; draft Resolution 2). Gas engines grouped into ≤20 blocks because the model accepts at most 20 units; the per-kW rate is unchanged.</t>
      </text>
    </comment>
    <comment ref="K8" authorId="0" shapeId="0">
      <text>
        <t>Unit capacity — Fin42, New-Build CCGT - Visayas 440MW
Source: TOR lot size split into standard units (CCGT 500 MW, OCGT 220 MW, gas engine 20 MW; draft Resolution 2). Gas engines grouped into ≤20 blocks because the model accepts at most 20 units; the per-kW rate is unchanged.</t>
      </text>
    </comment>
    <comment ref="L8" authorId="0" shapeId="0">
      <text>
        <t>Unit capacity — Fin42, New-Build OCGT - Visayas 440MW
Source: TOR lot size split into standard units (CCGT 500 MW, OCGT 220 MW, gas engine 20 MW; draft Resolution 2). Gas engines grouped into ≤20 blocks because the model accepts at most 20 units; the per-kW rate is unchanged.</t>
      </text>
    </comment>
    <comment ref="M8" authorId="0" shapeId="0">
      <text>
        <t>Unit capacity — Fin42, New-Build Gas Engine - Visayas 440MW
Source: TOR lot size split into standard units (CCGT 500 MW, OCGT 220 MW, gas engine 20 MW; draft Resolution 2). Gas engines grouped into ≤20 blocks because the model accepts at most 20 units; the per-kW rate is unchanged.</t>
      </text>
    </comment>
    <comment ref="N8" authorId="0" shapeId="0">
      <text>
        <t>Unit capacity — Fin42, New-Build CCGT - Visayas 500MW
Source: TOR lot size split into standard units (CCGT 500 MW, OCGT 220 MW, gas engine 20 MW; draft Resolution 2). Gas engines grouped into ≤20 blocks because the model accepts at most 20 units; the per-kW rate is unchanged.</t>
      </text>
    </comment>
    <comment ref="O8" authorId="0" shapeId="0">
      <text>
        <t>Unit capacity — Fin42, New-Build OCGT - Visayas 500MW
Source: TOR lot size split into standard units (CCGT 500 MW, OCGT 220 MW, gas engine 20 MW; draft Resolution 2). Gas engines grouped into ≤20 blocks because the model accepts at most 20 units; the per-kW rate is unchanged.</t>
      </text>
    </comment>
    <comment ref="P8" authorId="0" shapeId="0">
      <text>
        <t>Unit capacity — Fin42, New-Build Gas Engine - Visayas 500MW
Source: TOR lot size split into standard units (CCGT 500 MW, OCGT 220 MW, gas engine 20 MW; draft Resolution 2). Gas engines grouped into ≤20 blocks because the model accepts at most 20 units; the per-kW rate is unchanged.</t>
      </text>
    </comment>
    <comment ref="Q8" authorId="0" shapeId="0">
      <text>
        <t>Unit capacity — Fin90, Lot 1 Existing CCGT - Luzon
Source: TOR lot size split into standard units (CCGT 500 MW, OCGT 220 MW, gas engine 20 MW; draft Resolution 2). Gas engines grouped into ≤20 blocks because the model accepts at most 20 units; the per-kW rate is unchanged.</t>
      </text>
    </comment>
    <comment ref="R8" authorId="0" shapeId="0">
      <text>
        <t>Unit capacity — Fin90, Lot 2 Existing CCGT - Luzon
Source: TOR lot size split into standard units (CCGT 500 MW, OCGT 220 MW, gas engine 20 MW; draft Resolution 2). Gas engines grouped into ≤20 blocks because the model accepts at most 20 units; the per-kW rate is unchanged.</t>
      </text>
    </comment>
    <comment ref="S8" authorId="0" shapeId="0">
      <text>
        <t>Unit capacity — Fin90, New-Build CCGT - Luzon 1000MW
Source: TOR lot size split into standard units (CCGT 500 MW, OCGT 220 MW, gas engine 20 MW; draft Resolution 2). Gas engines grouped into ≤20 blocks because the model accepts at most 20 units; the per-kW rate is unchanged.</t>
      </text>
    </comment>
    <comment ref="T8" authorId="0" shapeId="0">
      <text>
        <t>Unit capacity — Fin90, New-Build OCGT - Luzon 1000MW
Source: TOR lot size split into standard units (CCGT 500 MW, OCGT 220 MW, gas engine 20 MW; draft Resolution 2). Gas engines grouped into ≤20 blocks because the model accepts at most 20 units; the per-kW rate is unchanged.</t>
      </text>
    </comment>
    <comment ref="U8" authorId="0" shapeId="0">
      <text>
        <t>Unit capacity — Fin90, New-Build Gas Engine - Luzon 1000MW
Source: TOR lot size split into standard units (CCGT 500 MW, OCGT 220 MW, gas engine 20 MW; draft Resolution 2). Gas engines grouped into ≤20 blocks because the model accepts at most 20 units; the per-kW rate is unchanged.</t>
      </text>
    </comment>
    <comment ref="V8" authorId="0" shapeId="0">
      <text>
        <t>Unit capacity — Fin90, New-Build CCGT - Visayas 440MW
Source: TOR lot size split into standard units (CCGT 500 MW, OCGT 220 MW, gas engine 20 MW; draft Resolution 2). Gas engines grouped into ≤20 blocks because the model accepts at most 20 units; the per-kW rate is unchanged.</t>
      </text>
    </comment>
    <comment ref="W8" authorId="0" shapeId="0">
      <text>
        <t>Unit capacity — Fin90, New-Build OCGT - Visayas 440MW
Source: TOR lot size split into standard units (CCGT 500 MW, OCGT 220 MW, gas engine 20 MW; draft Resolution 2). Gas engines grouped into ≤20 blocks because the model accepts at most 20 units; the per-kW rate is unchanged.</t>
      </text>
    </comment>
    <comment ref="X8" authorId="0" shapeId="0">
      <text>
        <t>Unit capacity — Fin90, New-Build Gas Engine - Visayas 440MW
Source: TOR lot size split into standard units (CCGT 500 MW, OCGT 220 MW, gas engine 20 MW; draft Resolution 2). Gas engines grouped into ≤20 blocks because the model accepts at most 20 units; the per-kW rate is unchanged.</t>
      </text>
    </comment>
    <comment ref="Y8" authorId="0" shapeId="0">
      <text>
        <t>Unit capacity — Fin90, New-Build CCGT - Visayas 500MW
Source: TOR lot size split into standard units (CCGT 500 MW, OCGT 220 MW, gas engine 20 MW; draft Resolution 2). Gas engines grouped into ≤20 blocks because the model accepts at most 20 units; the per-kW rate is unchanged.</t>
      </text>
    </comment>
    <comment ref="Z8" authorId="0" shapeId="0">
      <text>
        <t>Unit capacity — Fin90, New-Build OCGT - Visayas 500MW
Source: TOR lot size split into standard units (CCGT 500 MW, OCGT 220 MW, gas engine 20 MW; draft Resolution 2). Gas engines grouped into ≤20 blocks because the model accepts at most 20 units; the per-kW rate is unchanged.</t>
      </text>
    </comment>
    <comment ref="AA8" authorId="0" shapeId="0">
      <text>
        <t>Unit capacity — Fin90, New-Build Gas Engine - Visayas 500MW
Source: TOR lot size split into standard units (CCGT 500 MW, OCGT 220 MW, gas engine 20 MW; draft Resolution 2). Gas engines grouped into ≤20 blocks because the model accepts at most 20 units; the per-kW rate is unchanged.</t>
      </text>
    </comment>
    <comment ref="F9" authorId="0" shapeId="0">
      <text>
        <t>Number of units — Fin42, Lot 1 Existing CCGT - Luzon
Source: Auction capacity requirement (DOE TOR Sec. 1.1) / unit capacity.</t>
      </text>
    </comment>
    <comment ref="G9" authorId="0" shapeId="0">
      <text>
        <t>Number of units — Fin42, Lot 2 Existing CCGT - Luzon
Source: Auction capacity requirement (DOE TOR Sec. 1.1) / unit capacity.</t>
      </text>
    </comment>
    <comment ref="H9" authorId="0" shapeId="0">
      <text>
        <t>Number of units — Fin42, New-Build CCGT - Luzon 1000MW
Source: Auction capacity requirement (DOE TOR Sec. 1.1) / unit capacity.</t>
      </text>
    </comment>
    <comment ref="I9" authorId="0" shapeId="0">
      <text>
        <t>Number of units — Fin42, New-Build OCGT - Luzon 1000MW
Source: Auction capacity requirement (DOE TOR Sec. 1.1) / unit capacity.</t>
      </text>
    </comment>
    <comment ref="J9" authorId="0" shapeId="0">
      <text>
        <t>Number of units — Fin42, New-Build Gas Engine - Luzon 1000MW
Source: Auction capacity requirement (DOE TOR Sec. 1.1) / unit capacity.</t>
      </text>
    </comment>
    <comment ref="K9" authorId="0" shapeId="0">
      <text>
        <t>Number of units — Fin42, New-Build CCGT - Visayas 440MW
Source: Auction capacity requirement (DOE TOR Sec. 1.1) / unit capacity.</t>
      </text>
    </comment>
    <comment ref="L9" authorId="0" shapeId="0">
      <text>
        <t>Number of units — Fin42, New-Build OCGT - Visayas 440MW
Source: Auction capacity requirement (DOE TOR Sec. 1.1) / unit capacity.</t>
      </text>
    </comment>
    <comment ref="M9" authorId="0" shapeId="0">
      <text>
        <t>Number of units — Fin42, New-Build Gas Engine - Visayas 440MW
Source: Auction capacity requirement (DOE TOR Sec. 1.1) / unit capacity.</t>
      </text>
    </comment>
    <comment ref="N9" authorId="0" shapeId="0">
      <text>
        <t>Number of units — Fin42, New-Build CCGT - Visayas 500MW
Source: Auction capacity requirement (DOE TOR Sec. 1.1) / unit capacity.</t>
      </text>
    </comment>
    <comment ref="O9" authorId="0" shapeId="0">
      <text>
        <t>Number of units — Fin42, New-Build OCGT - Visayas 500MW
Source: Auction capacity requirement (DOE TOR Sec. 1.1) / unit capacity.</t>
      </text>
    </comment>
    <comment ref="P9" authorId="0" shapeId="0">
      <text>
        <t>Number of units — Fin42, New-Build Gas Engine - Visayas 500MW
Source: Auction capacity requirement (DOE TOR Sec. 1.1) / unit capacity.</t>
      </text>
    </comment>
    <comment ref="Q9" authorId="0" shapeId="0">
      <text>
        <t>Number of units — Fin90, Lot 1 Existing CCGT - Luzon
Source: Auction capacity requirement (DOE TOR Sec. 1.1) / unit capacity.</t>
      </text>
    </comment>
    <comment ref="R9" authorId="0" shapeId="0">
      <text>
        <t>Number of units — Fin90, Lot 2 Existing CCGT - Luzon
Source: Auction capacity requirement (DOE TOR Sec. 1.1) / unit capacity.</t>
      </text>
    </comment>
    <comment ref="S9" authorId="0" shapeId="0">
      <text>
        <t>Number of units — Fin90, New-Build CCGT - Luzon 1000MW
Source: Auction capacity requirement (DOE TOR Sec. 1.1) / unit capacity.</t>
      </text>
    </comment>
    <comment ref="T9" authorId="0" shapeId="0">
      <text>
        <t>Number of units — Fin90, New-Build OCGT - Luzon 1000MW
Source: Auction capacity requirement (DOE TOR Sec. 1.1) / unit capacity.</t>
      </text>
    </comment>
    <comment ref="U9" authorId="0" shapeId="0">
      <text>
        <t>Number of units — Fin90, New-Build Gas Engine - Luzon 1000MW
Source: Auction capacity requirement (DOE TOR Sec. 1.1) / unit capacity.</t>
      </text>
    </comment>
    <comment ref="V9" authorId="0" shapeId="0">
      <text>
        <t>Number of units — Fin90, New-Build CCGT - Visayas 440MW
Source: Auction capacity requirement (DOE TOR Sec. 1.1) / unit capacity.</t>
      </text>
    </comment>
    <comment ref="W9" authorId="0" shapeId="0">
      <text>
        <t>Number of units — Fin90, New-Build OCGT - Visayas 440MW
Source: Auction capacity requirement (DOE TOR Sec. 1.1) / unit capacity.</t>
      </text>
    </comment>
    <comment ref="X9" authorId="0" shapeId="0">
      <text>
        <t>Number of units — Fin90, New-Build Gas Engine - Visayas 440MW
Source: Auction capacity requirement (DOE TOR Sec. 1.1) / unit capacity.</t>
      </text>
    </comment>
    <comment ref="Y9" authorId="0" shapeId="0">
      <text>
        <t>Number of units — Fin90, New-Build CCGT - Visayas 500MW
Source: Auction capacity requirement (DOE TOR Sec. 1.1) / unit capacity.</t>
      </text>
    </comment>
    <comment ref="Z9" authorId="0" shapeId="0">
      <text>
        <t>Number of units — Fin90, New-Build OCGT - Visayas 500MW
Source: Auction capacity requirement (DOE TOR Sec. 1.1) / unit capacity.</t>
      </text>
    </comment>
    <comment ref="AA9" authorId="0" shapeId="0">
      <text>
        <t>Number of units — Fin90, New-Build Gas Engine - Visayas 500MW
Source: Auction capacity requirement (DOE TOR Sec. 1.1) / unit capacity.</t>
      </text>
    </comment>
    <comment ref="F10" authorId="0" shapeId="0">
      <text>
        <t>Installed capacity — Fin42, Lot 1 Existing CCGT - Luzon
Source: DOE TOR Sec. 1.1 auction capacity requirement.</t>
      </text>
    </comment>
    <comment ref="G10" authorId="0" shapeId="0">
      <text>
        <t>Installed capacity — Fin42, Lot 2 Existing CCGT - Luzon
Source: DOE TOR Sec. 1.1 auction capacity requirement.</t>
      </text>
    </comment>
    <comment ref="H10" authorId="0" shapeId="0">
      <text>
        <t>Installed capacity — Fin42, New-Build CCGT - Luzon 1000MW
Source: DOE TOR Sec. 1.1 auction capacity requirement.</t>
      </text>
    </comment>
    <comment ref="I10" authorId="0" shapeId="0">
      <text>
        <t>Installed capacity — Fin42, New-Build OCGT - Luzon 1000MW
Source: DOE TOR Sec. 1.1 auction capacity requirement.</t>
      </text>
    </comment>
    <comment ref="J10" authorId="0" shapeId="0">
      <text>
        <t>Installed capacity — Fin42, New-Build Gas Engine - Luzon 1000MW
Source: DOE TOR Sec. 1.1 auction capacity requirement.</t>
      </text>
    </comment>
    <comment ref="K10" authorId="0" shapeId="0">
      <text>
        <t>Installed capacity — Fin42, New-Build CCGT - Visayas 440MW
Source: DOE TOR Sec. 1.1 auction capacity requirement.</t>
      </text>
    </comment>
    <comment ref="L10" authorId="0" shapeId="0">
      <text>
        <t>Installed capacity — Fin42, New-Build OCGT - Visayas 440MW
Source: DOE TOR Sec. 1.1 auction capacity requirement.</t>
      </text>
    </comment>
    <comment ref="M10" authorId="0" shapeId="0">
      <text>
        <t>Installed capacity — Fin42, New-Build Gas Engine - Visayas 440MW
Source: DOE TOR Sec. 1.1 auction capacity requirement.</t>
      </text>
    </comment>
    <comment ref="N10" authorId="0" shapeId="0">
      <text>
        <t>Installed capacity — Fin42, New-Build CCGT - Visayas 500MW
Source: DOE TOR Sec. 1.1 auction capacity requirement.</t>
      </text>
    </comment>
    <comment ref="O10" authorId="0" shapeId="0">
      <text>
        <t>Installed capacity — Fin42, New-Build OCGT - Visayas 500MW
Source: DOE TOR Sec. 1.1 auction capacity requirement.</t>
      </text>
    </comment>
    <comment ref="P10" authorId="0" shapeId="0">
      <text>
        <t>Installed capacity — Fin42, New-Build Gas Engine - Visayas 500MW
Source: DOE TOR Sec. 1.1 auction capacity requirement.</t>
      </text>
    </comment>
    <comment ref="Q10" authorId="0" shapeId="0">
      <text>
        <t>Installed capacity — Fin90, Lot 1 Existing CCGT - Luzon
Source: DOE TOR Sec. 1.1 auction capacity requirement.</t>
      </text>
    </comment>
    <comment ref="R10" authorId="0" shapeId="0">
      <text>
        <t>Installed capacity — Fin90, Lot 2 Existing CCGT - Luzon
Source: DOE TOR Sec. 1.1 auction capacity requirement.</t>
      </text>
    </comment>
    <comment ref="S10" authorId="0" shapeId="0">
      <text>
        <t>Installed capacity — Fin90, New-Build CCGT - Luzon 1000MW
Source: DOE TOR Sec. 1.1 auction capacity requirement.</t>
      </text>
    </comment>
    <comment ref="T10" authorId="0" shapeId="0">
      <text>
        <t>Installed capacity — Fin90, New-Build OCGT - Luzon 1000MW
Source: DOE TOR Sec. 1.1 auction capacity requirement.</t>
      </text>
    </comment>
    <comment ref="U10" authorId="0" shapeId="0">
      <text>
        <t>Installed capacity — Fin90, New-Build Gas Engine - Luzon 1000MW
Source: DOE TOR Sec. 1.1 auction capacity requirement.</t>
      </text>
    </comment>
    <comment ref="V10" authorId="0" shapeId="0">
      <text>
        <t>Installed capacity — Fin90, New-Build CCGT - Visayas 440MW
Source: DOE TOR Sec. 1.1 auction capacity requirement.</t>
      </text>
    </comment>
    <comment ref="W10" authorId="0" shapeId="0">
      <text>
        <t>Installed capacity — Fin90, New-Build OCGT - Visayas 440MW
Source: DOE TOR Sec. 1.1 auction capacity requirement.</t>
      </text>
    </comment>
    <comment ref="X10" authorId="0" shapeId="0">
      <text>
        <t>Installed capacity — Fin90, New-Build Gas Engine - Visayas 440MW
Source: DOE TOR Sec. 1.1 auction capacity requirement.</t>
      </text>
    </comment>
    <comment ref="Y10" authorId="0" shapeId="0">
      <text>
        <t>Installed capacity — Fin90, New-Build CCGT - Visayas 500MW
Source: DOE TOR Sec. 1.1 auction capacity requirement.</t>
      </text>
    </comment>
    <comment ref="Z10" authorId="0" shapeId="0">
      <text>
        <t>Installed capacity — Fin90, New-Build OCGT - Visayas 500MW
Source: DOE TOR Sec. 1.1 auction capacity requirement.</t>
      </text>
    </comment>
    <comment ref="AA10" authorId="0" shapeId="0">
      <text>
        <t>Installed capacity — Fin90, New-Build Gas Engine - Visayas 500MW
Source: DOE TOR Sec. 1.1 auction capacity requirement.</t>
      </text>
    </comment>
    <comment ref="F11" authorId="0" shapeId="0">
      <text>
        <t>Net capacity factor paid at the GAP — Fin42, Lot 1 Existing CCGT - Luzon
Source: DOE TOR Sec. 1.1 tables and 4.2: equivalent energy offtake 37%–42% (Lot 1 mid-merit 38%–42%). Fin42 takes the top of the band, 42%.</t>
      </text>
    </comment>
    <comment ref="G11" authorId="0" shapeId="0">
      <text>
        <t>Net capacity factor paid at the GAP — Fin42, Lot 2 Existing CCGT - Luzon
Source: DOE TOR Sec. 1.1 tables and 4.2: equivalent energy offtake 37%–42% (Lot 1 mid-merit 38%–42%). Fin42 takes the top of the band, 42%.</t>
      </text>
    </comment>
    <comment ref="H11" authorId="0" shapeId="0">
      <text>
        <t>Net capacity factor paid at the GAP — Fin42, New-Build CCGT - Luzon 1000MW
Source: DOE TOR Sec. 1.1 tables and 4.2: equivalent energy offtake 37%–42% (Lot 1 mid-merit 38%–42%). Fin42 takes the top of the band, 42%.</t>
      </text>
    </comment>
    <comment ref="I11" authorId="0" shapeId="0">
      <text>
        <t>Net capacity factor paid at the GAP — Fin42, New-Build OCGT - Luzon 1000MW
Source: DOE TOR Sec. 1.1 tables and 4.2: equivalent energy offtake 37%–42% (Lot 1 mid-merit 38%–42%). Fin42 takes the top of the band, 42%.</t>
      </text>
    </comment>
    <comment ref="J11" authorId="0" shapeId="0">
      <text>
        <t>Net capacity factor paid at the GAP — Fin42, New-Build Gas Engine - Luzon 1000MW
Source: DOE TOR Sec. 1.1 tables and 4.2: equivalent energy offtake 37%–42% (Lot 1 mid-merit 38%–42%). Fin42 takes the top of the band, 42%.</t>
      </text>
    </comment>
    <comment ref="K11" authorId="0" shapeId="0">
      <text>
        <t>Net capacity factor paid at the GAP — Fin42, New-Build CCGT - Visayas 440MW
Source: DOE TOR Sec. 1.1 tables and 4.2: equivalent energy offtake 37%–42% (Lot 1 mid-merit 38%–42%). Fin42 takes the top of the band, 42%.</t>
      </text>
    </comment>
    <comment ref="L11" authorId="0" shapeId="0">
      <text>
        <t>Net capacity factor paid at the GAP — Fin42, New-Build OCGT - Visayas 440MW
Source: DOE TOR Sec. 1.1 tables and 4.2: equivalent energy offtake 37%–42% (Lot 1 mid-merit 38%–42%). Fin42 takes the top of the band, 42%.</t>
      </text>
    </comment>
    <comment ref="M11" authorId="0" shapeId="0">
      <text>
        <t>Net capacity factor paid at the GAP — Fin42, New-Build Gas Engine - Visayas 440MW
Source: DOE TOR Sec. 1.1 tables and 4.2: equivalent energy offtake 37%–42% (Lot 1 mid-merit 38%–42%). Fin42 takes the top of the band, 42%.</t>
      </text>
    </comment>
    <comment ref="N11" authorId="0" shapeId="0">
      <text>
        <t>Net capacity factor paid at the GAP — Fin42, New-Build CCGT - Visayas 500MW
Source: DOE TOR Sec. 1.1 tables and 4.2: equivalent energy offtake 37%–42% (Lot 1 mid-merit 38%–42%). Fin42 takes the top of the band, 42%.</t>
      </text>
    </comment>
    <comment ref="O11" authorId="0" shapeId="0">
      <text>
        <t>Net capacity factor paid at the GAP — Fin42, New-Build OCGT - Visayas 500MW
Source: DOE TOR Sec. 1.1 tables and 4.2: equivalent energy offtake 37%–42% (Lot 1 mid-merit 38%–42%). Fin42 takes the top of the band, 42%.</t>
      </text>
    </comment>
    <comment ref="P11" authorId="0" shapeId="0">
      <text>
        <t>Net capacity factor paid at the GAP — Fin42, New-Build Gas Engine - Visayas 500MW
Source: DOE TOR Sec. 1.1 tables and 4.2: equivalent energy offtake 37%–42% (Lot 1 mid-merit 38%–42%). Fin42 takes the top of the band, 42%.</t>
      </text>
    </comment>
    <comment ref="Q11" authorId="0" shapeId="0">
      <text>
        <t>Net capacity factor paid at the GAP — Fin90, Lot 1 Existing CCGT - Luzon
Source: Actual historical: Meralco "Breakdown of Generation Charge", Jan 2024–Sep 2026 (xxxxxxx/*_gc_table.pdf). Existing fleet — First Gen Santa Rita (1,000 MW) and San Lorenzo (500 MW) plus SPPC Ilijan (1,200 MW): 66.8%, used for Lots 1–2. Whole fleet incl. EERI (1,200 MW): 63.1%, used for new-build. See Historical_CF tab.</t>
      </text>
    </comment>
    <comment ref="R11" authorId="0" shapeId="0">
      <text>
        <t>Net capacity factor paid at the GAP — Fin90, Lot 2 Existing CCGT - Luzon
Source: Actual historical: Meralco "Breakdown of Generation Charge", Jan 2024–Sep 2026 (xxxxxxx/*_gc_table.pdf). Existing fleet — First Gen Santa Rita (1,000 MW) and San Lorenzo (500 MW) plus SPPC Ilijan (1,200 MW): 66.8%, used for Lots 1–2. Whole fleet incl. EERI (1,200 MW): 63.1%, used for new-build. See Historical_CF tab.</t>
      </text>
    </comment>
    <comment ref="S11" authorId="0" shapeId="0">
      <text>
        <t>Net capacity factor paid at the GAP — Fin90, New-Build CCGT - Luzon 1000MW
Source: Actual historical: Meralco "Breakdown of Generation Charge", Jan 2024–Sep 2026 (xxxxxxx/*_gc_table.pdf). Existing fleet — First Gen Santa Rita (1,000 MW) and San Lorenzo (500 MW) plus SPPC Ilijan (1,200 MW): 66.8%, used for Lots 1–2. Whole fleet incl. EERI (1,200 MW): 63.1%, used for new-build. See Historical_CF tab.</t>
      </text>
    </comment>
    <comment ref="T11" authorId="0" shapeId="0">
      <text>
        <t>Net capacity factor paid at the GAP — Fin90, New-Build OCGT - Luzon 1000MW
Source: Actual historical: Meralco "Breakdown of Generation Charge", Jan 2024–Sep 2026 (xxxxxxx/*_gc_table.pdf). Existing fleet — First Gen Santa Rita (1,000 MW) and San Lorenzo (500 MW) plus SPPC Ilijan (1,200 MW): 66.8%, used for Lots 1–2. Whole fleet incl. EERI (1,200 MW): 63.1%, used for new-build. See Historical_CF tab.</t>
      </text>
    </comment>
    <comment ref="U11" authorId="0" shapeId="0">
      <text>
        <t>Net capacity factor paid at the GAP — Fin90, New-Build Gas Engine - Luzon 1000MW
Source: Actual historical: Meralco "Breakdown of Generation Charge", Jan 2024–Sep 2026 (xxxxxxx/*_gc_table.pdf). Existing fleet — First Gen Santa Rita (1,000 MW) and San Lorenzo (500 MW) plus SPPC Ilijan (1,200 MW): 66.8%, used for Lots 1–2. Whole fleet incl. EERI (1,200 MW): 63.1%, used for new-build. See Historical_CF tab.</t>
      </text>
    </comment>
    <comment ref="V11" authorId="0" shapeId="0">
      <text>
        <t>Net capacity factor paid at the GAP — Fin90, New-Build CCGT - Visayas 440MW
Source: Actual historical: Meralco "Breakdown of Generation Charge", Jan 2024–Sep 2026 (xxxxxxx/*_gc_table.pdf). Existing fleet — First Gen Santa Rita (1,000 MW) and San Lorenzo (500 MW) plus SPPC Ilijan (1,200 MW): 66.8%, used for Lots 1–2. Whole fleet incl. EERI (1,200 MW): 63.1%, used for new-build. See Historical_CF tab.</t>
      </text>
    </comment>
    <comment ref="W11" authorId="0" shapeId="0">
      <text>
        <t>Net capacity factor paid at the GAP — Fin90, New-Build OCGT - Visayas 440MW
Source: Actual historical: Meralco "Breakdown of Generation Charge", Jan 2024–Sep 2026 (xxxxxxx/*_gc_table.pdf). Existing fleet — First Gen Santa Rita (1,000 MW) and San Lorenzo (500 MW) plus SPPC Ilijan (1,200 MW): 66.8%, used for Lots 1–2. Whole fleet incl. EERI (1,200 MW): 63.1%, used for new-build. See Historical_CF tab.</t>
      </text>
    </comment>
    <comment ref="X11" authorId="0" shapeId="0">
      <text>
        <t>Net capacity factor paid at the GAP — Fin90, New-Build Gas Engine - Visayas 440MW
Source: Actual historical: Meralco "Breakdown of Generation Charge", Jan 2024–Sep 2026 (xxxxxxx/*_gc_table.pdf). Existing fleet — First Gen Santa Rita (1,000 MW) and San Lorenzo (500 MW) plus SPPC Ilijan (1,200 MW): 66.8%, used for Lots 1–2. Whole fleet incl. EERI (1,200 MW): 63.1%, used for new-build. See Historical_CF tab.</t>
      </text>
    </comment>
    <comment ref="Y11" authorId="0" shapeId="0">
      <text>
        <t>Net capacity factor paid at the GAP — Fin90, New-Build CCGT - Visayas 500MW
Source: Actual historical: Meralco "Breakdown of Generation Charge", Jan 2024–Sep 2026 (xxxxxxx/*_gc_table.pdf). Existing fleet — First Gen Santa Rita (1,000 MW) and San Lorenzo (500 MW) plus SPPC Ilijan (1,200 MW): 66.8%, used for Lots 1–2. Whole fleet incl. EERI (1,200 MW): 63.1%, used for new-build. See Historical_CF tab.</t>
      </text>
    </comment>
    <comment ref="Z11" authorId="0" shapeId="0">
      <text>
        <t>Net capacity factor paid at the GAP — Fin90, New-Build OCGT - Visayas 500MW
Source: Actual historical: Meralco "Breakdown of Generation Charge", Jan 2024–Sep 2026 (xxxxxxx/*_gc_table.pdf). Existing fleet — First Gen Santa Rita (1,000 MW) and San Lorenzo (500 MW) plus SPPC Ilijan (1,200 MW): 66.8%, used for Lots 1–2. Whole fleet incl. EERI (1,200 MW): 63.1%, used for new-build. See Historical_CF tab.</t>
      </text>
    </comment>
    <comment ref="AA11" authorId="0" shapeId="0">
      <text>
        <t>Net capacity factor paid at the GAP — Fin90, New-Build Gas Engine - Visayas 500MW
Source: Actual historical: Meralco "Breakdown of Generation Charge", Jan 2024–Sep 2026 (xxxxxxx/*_gc_table.pdf). Existing fleet — First Gen Santa Rita (1,000 MW) and San Lorenzo (500 MW) plus SPPC Ilijan (1,200 MW): 66.8%, used for Lots 1–2. Whole fleet incl. EERI (1,200 MW): 63.1%, used for new-build. See Historical_CF tab.</t>
      </text>
    </comment>
    <comment ref="F12" authorId="0" shapeId="0">
      <text>
        <t>Non-mid-merit energy, fuel only — Fin42, Lot 1 Existing CCGT - Luzon
Source: Lot 1 only, Fin42: 24% (top of 22%–24%), DOE TOR Sec. 4.2.2 — paid fuel only, so its variable O&amp;M and logistics are carried by GAP energy. Fin90 uses total historical dispatch instead.</t>
      </text>
    </comment>
    <comment ref="G12" authorId="0" shapeId="0">
      <text>
        <t>Non-mid-merit energy, fuel only — Fin42, Lot 2 Existing CCGT - Luzon
Source: Lot 1 only, Fin42: 24% (top of 22%–24%), DOE TOR Sec. 4.2.2 — paid fuel only, so its variable O&amp;M and logistics are carried by GAP energy. Fin90 uses total historical dispatch instead.</t>
      </text>
    </comment>
    <comment ref="H12" authorId="0" shapeId="0">
      <text>
        <t>Non-mid-merit energy, fuel only — Fin42, New-Build CCGT - Luzon 1000MW
Source: Lot 1 only, Fin42: 24% (top of 22%–24%), DOE TOR Sec. 4.2.2 — paid fuel only, so its variable O&amp;M and logistics are carried by GAP energy. Fin90 uses total historical dispatch instead.</t>
      </text>
    </comment>
    <comment ref="I12" authorId="0" shapeId="0">
      <text>
        <t>Non-mid-merit energy, fuel only — Fin42, New-Build OCGT - Luzon 1000MW
Source: Lot 1 only, Fin42: 24% (top of 22%–24%), DOE TOR Sec. 4.2.2 — paid fuel only, so its variable O&amp;M and logistics are carried by GAP energy. Fin90 uses total historical dispatch instead.</t>
      </text>
    </comment>
    <comment ref="J12" authorId="0" shapeId="0">
      <text>
        <t>Non-mid-merit energy, fuel only — Fin42, New-Build Gas Engine - Luzon 1000MW
Source: Lot 1 only, Fin42: 24% (top of 22%–24%), DOE TOR Sec. 4.2.2 — paid fuel only, so its variable O&amp;M and logistics are carried by GAP energy. Fin90 uses total historical dispatch instead.</t>
      </text>
    </comment>
    <comment ref="K12" authorId="0" shapeId="0">
      <text>
        <t>Non-mid-merit energy, fuel only — Fin42, New-Build CCGT - Visayas 440MW
Source: Lot 1 only, Fin42: 24% (top of 22%–24%), DOE TOR Sec. 4.2.2 — paid fuel only, so its variable O&amp;M and logistics are carried by GAP energy. Fin90 uses total historical dispatch instead.</t>
      </text>
    </comment>
    <comment ref="L12" authorId="0" shapeId="0">
      <text>
        <t>Non-mid-merit energy, fuel only — Fin42, New-Build OCGT - Visayas 440MW
Source: Lot 1 only, Fin42: 24% (top of 22%–24%), DOE TOR Sec. 4.2.2 — paid fuel only, so its variable O&amp;M and logistics are carried by GAP energy. Fin90 uses total historical dispatch instead.</t>
      </text>
    </comment>
    <comment ref="M12" authorId="0" shapeId="0">
      <text>
        <t>Non-mid-merit energy, fuel only — Fin42, New-Build Gas Engine - Visayas 440MW
Source: Lot 1 only, Fin42: 24% (top of 22%–24%), DOE TOR Sec. 4.2.2 — paid fuel only, so its variable O&amp;M and logistics are carried by GAP energy. Fin90 uses total historical dispatch instead.</t>
      </text>
    </comment>
    <comment ref="N12" authorId="0" shapeId="0">
      <text>
        <t>Non-mid-merit energy, fuel only — Fin42, New-Build CCGT - Visayas 500MW
Source: Lot 1 only, Fin42: 24% (top of 22%–24%), DOE TOR Sec. 4.2.2 — paid fuel only, so its variable O&amp;M and logistics are carried by GAP energy. Fin90 uses total historical dispatch instead.</t>
      </text>
    </comment>
    <comment ref="O12" authorId="0" shapeId="0">
      <text>
        <t>Non-mid-merit energy, fuel only — Fin42, New-Build OCGT - Visayas 500MW
Source: Lot 1 only, Fin42: 24% (top of 22%–24%), DOE TOR Sec. 4.2.2 — paid fuel only, so its variable O&amp;M and logistics are carried by GAP energy. Fin90 uses total historical dispatch instead.</t>
      </text>
    </comment>
    <comment ref="P12" authorId="0" shapeId="0">
      <text>
        <t>Non-mid-merit energy, fuel only — Fin42, New-Build Gas Engine - Visayas 500MW
Source: Lot 1 only, Fin42: 24% (top of 22%–24%), DOE TOR Sec. 4.2.2 — paid fuel only, so its variable O&amp;M and logistics are carried by GAP energy. Fin90 uses total historical dispatch instead.</t>
      </text>
    </comment>
    <comment ref="Q12" authorId="0" shapeId="0">
      <text>
        <t>Non-mid-merit energy, fuel only — Fin90, Lot 1 Existing CCGT - Luzon
Source: Lot 1 only, Fin42: 24% (top of 22%–24%), DOE TOR Sec. 4.2.2 — paid fuel only, so its variable O&amp;M and logistics are carried by GAP energy. Fin90 uses total historical dispatch instead.</t>
      </text>
    </comment>
    <comment ref="R12" authorId="0" shapeId="0">
      <text>
        <t>Non-mid-merit energy, fuel only — Fin90, Lot 2 Existing CCGT - Luzon
Source: Lot 1 only, Fin42: 24% (top of 22%–24%), DOE TOR Sec. 4.2.2 — paid fuel only, so its variable O&amp;M and logistics are carried by GAP energy. Fin90 uses total historical dispatch instead.</t>
      </text>
    </comment>
    <comment ref="S12" authorId="0" shapeId="0">
      <text>
        <t>Non-mid-merit energy, fuel only — Fin90, New-Build CCGT - Luzon 1000MW
Source: Lot 1 only, Fin42: 24% (top of 22%–24%), DOE TOR Sec. 4.2.2 — paid fuel only, so its variable O&amp;M and logistics are carried by GAP energy. Fin90 uses total historical dispatch instead.</t>
      </text>
    </comment>
    <comment ref="T12" authorId="0" shapeId="0">
      <text>
        <t>Non-mid-merit energy, fuel only — Fin90, New-Build OCGT - Luzon 1000MW
Source: Lot 1 only, Fin42: 24% (top of 22%–24%), DOE TOR Sec. 4.2.2 — paid fuel only, so its variable O&amp;M and logistics are carried by GAP energy. Fin90 uses total historical dispatch instead.</t>
      </text>
    </comment>
    <comment ref="U12" authorId="0" shapeId="0">
      <text>
        <t>Non-mid-merit energy, fuel only — Fin90, New-Build Gas Engine - Luzon 1000MW
Source: Lot 1 only, Fin42: 24% (top of 22%–24%), DOE TOR Sec. 4.2.2 — paid fuel only, so its variable O&amp;M and logistics are carried by GAP energy. Fin90 uses total historical dispatch instead.</t>
      </text>
    </comment>
    <comment ref="V12" authorId="0" shapeId="0">
      <text>
        <t>Non-mid-merit energy, fuel only — Fin90, New-Build CCGT - Visayas 440MW
Source: Lot 1 only, Fin42: 24% (top of 22%–24%), DOE TOR Sec. 4.2.2 — paid fuel only, so its variable O&amp;M and logistics are carried by GAP energy. Fin90 uses total historical dispatch instead.</t>
      </text>
    </comment>
    <comment ref="W12" authorId="0" shapeId="0">
      <text>
        <t>Non-mid-merit energy, fuel only — Fin90, New-Build OCGT - Visayas 440MW
Source: Lot 1 only, Fin42: 24% (top of 22%–24%), DOE TOR Sec. 4.2.2 — paid fuel only, so its variable O&amp;M and logistics are carried by GAP energy. Fin90 uses total historical dispatch instead.</t>
      </text>
    </comment>
    <comment ref="X12" authorId="0" shapeId="0">
      <text>
        <t>Non-mid-merit energy, fuel only — Fin90, New-Build Gas Engine - Visayas 440MW
Source: Lot 1 only, Fin42: 24% (top of 22%–24%), DOE TOR Sec. 4.2.2 — paid fuel only, so its variable O&amp;M and logistics are carried by GAP energy. Fin90 uses total historical dispatch instead.</t>
      </text>
    </comment>
    <comment ref="Y12" authorId="0" shapeId="0">
      <text>
        <t>Non-mid-merit energy, fuel only — Fin90, New-Build CCGT - Visayas 500MW
Source: Lot 1 only, Fin42: 24% (top of 22%–24%), DOE TOR Sec. 4.2.2 — paid fuel only, so its variable O&amp;M and logistics are carried by GAP energy. Fin90 uses total historical dispatch instead.</t>
      </text>
    </comment>
    <comment ref="Z12" authorId="0" shapeId="0">
      <text>
        <t>Non-mid-merit energy, fuel only — Fin90, New-Build OCGT - Visayas 500MW
Source: Lot 1 only, Fin42: 24% (top of 22%–24%), DOE TOR Sec. 4.2.2 — paid fuel only, so its variable O&amp;M and logistics are carried by GAP energy. Fin90 uses total historical dispatch instead.</t>
      </text>
    </comment>
    <comment ref="AA12" authorId="0" shapeId="0">
      <text>
        <t>Non-mid-merit energy, fuel only — Fin90, New-Build Gas Engine - Visayas 500MW
Source: Lot 1 only, Fin42: 24% (top of 22%–24%), DOE TOR Sec. 4.2.2 — paid fuel only, so its variable O&amp;M and logistics are carried by GAP energy. Fin90 uses total historical dispatch instead.</t>
      </text>
    </comment>
    <comment ref="F13" authorId="0" shapeId="0">
      <text>
        <t>Guaranteed efficiency factor — Fin42, Lot 1 Existing CCGT - Luzon
Source: Net basis: CF is already net, so 100%.</t>
      </text>
    </comment>
    <comment ref="G13" authorId="0" shapeId="0">
      <text>
        <t>Guaranteed efficiency factor — Fin42, Lot 2 Existing CCGT - Luzon
Source: Net basis: CF is already net, so 100%.</t>
      </text>
    </comment>
    <comment ref="H13" authorId="0" shapeId="0">
      <text>
        <t>Guaranteed efficiency factor — Fin42, New-Build CCGT - Luzon 1000MW
Source: Net basis: CF is already net, so 100%.</t>
      </text>
    </comment>
    <comment ref="I13" authorId="0" shapeId="0">
      <text>
        <t>Guaranteed efficiency factor — Fin42, New-Build OCGT - Luzon 1000MW
Source: Net basis: CF is already net, so 100%.</t>
      </text>
    </comment>
    <comment ref="J13" authorId="0" shapeId="0">
      <text>
        <t>Guaranteed efficiency factor — Fin42, New-Build Gas Engine - Luzon 1000MW
Source: Net basis: CF is already net, so 100%.</t>
      </text>
    </comment>
    <comment ref="K13" authorId="0" shapeId="0">
      <text>
        <t>Guaranteed efficiency factor — Fin42, New-Build CCGT - Visayas 440MW
Source: Net basis: CF is already net, so 100%.</t>
      </text>
    </comment>
    <comment ref="L13" authorId="0" shapeId="0">
      <text>
        <t>Guaranteed efficiency factor — Fin42, New-Build OCGT - Visayas 440MW
Source: Net basis: CF is already net, so 100%.</t>
      </text>
    </comment>
    <comment ref="M13" authorId="0" shapeId="0">
      <text>
        <t>Guaranteed efficiency factor — Fin42, New-Build Gas Engine - Visayas 440MW
Source: Net basis: CF is already net, so 100%.</t>
      </text>
    </comment>
    <comment ref="N13" authorId="0" shapeId="0">
      <text>
        <t>Guaranteed efficiency factor — Fin42, New-Build CCGT - Visayas 500MW
Source: Net basis: CF is already net, so 100%.</t>
      </text>
    </comment>
    <comment ref="O13" authorId="0" shapeId="0">
      <text>
        <t>Guaranteed efficiency factor — Fin42, New-Build OCGT - Visayas 500MW
Source: Net basis: CF is already net, so 100%.</t>
      </text>
    </comment>
    <comment ref="P13" authorId="0" shapeId="0">
      <text>
        <t>Guaranteed efficiency factor — Fin42, New-Build Gas Engine - Visayas 500MW
Source: Net basis: CF is already net, so 100%.</t>
      </text>
    </comment>
    <comment ref="Q13" authorId="0" shapeId="0">
      <text>
        <t>Guaranteed efficiency factor — Fin90, Lot 1 Existing CCGT - Luzon
Source: Net basis: CF is already net, so 100%.</t>
      </text>
    </comment>
    <comment ref="R13" authorId="0" shapeId="0">
      <text>
        <t>Guaranteed efficiency factor — Fin90, Lot 2 Existing CCGT - Luzon
Source: Net basis: CF is already net, so 100%.</t>
      </text>
    </comment>
    <comment ref="S13" authorId="0" shapeId="0">
      <text>
        <t>Guaranteed efficiency factor — Fin90, New-Build CCGT - Luzon 1000MW
Source: Net basis: CF is already net, so 100%.</t>
      </text>
    </comment>
    <comment ref="T13" authorId="0" shapeId="0">
      <text>
        <t>Guaranteed efficiency factor — Fin90, New-Build OCGT - Luzon 1000MW
Source: Net basis: CF is already net, so 100%.</t>
      </text>
    </comment>
    <comment ref="U13" authorId="0" shapeId="0">
      <text>
        <t>Guaranteed efficiency factor — Fin90, New-Build Gas Engine - Luzon 1000MW
Source: Net basis: CF is already net, so 100%.</t>
      </text>
    </comment>
    <comment ref="V13" authorId="0" shapeId="0">
      <text>
        <t>Guaranteed efficiency factor — Fin90, New-Build CCGT - Visayas 440MW
Source: Net basis: CF is already net, so 100%.</t>
      </text>
    </comment>
    <comment ref="W13" authorId="0" shapeId="0">
      <text>
        <t>Guaranteed efficiency factor — Fin90, New-Build OCGT - Visayas 440MW
Source: Net basis: CF is already net, so 100%.</t>
      </text>
    </comment>
    <comment ref="X13" authorId="0" shapeId="0">
      <text>
        <t>Guaranteed efficiency factor — Fin90, New-Build Gas Engine - Visayas 440MW
Source: Net basis: CF is already net, so 100%.</t>
      </text>
    </comment>
    <comment ref="Y13" authorId="0" shapeId="0">
      <text>
        <t>Guaranteed efficiency factor — Fin90, New-Build CCGT - Visayas 500MW
Source: Net basis: CF is already net, so 100%.</t>
      </text>
    </comment>
    <comment ref="Z13" authorId="0" shapeId="0">
      <text>
        <t>Guaranteed efficiency factor — Fin90, New-Build OCGT - Visayas 500MW
Source: Net basis: CF is already net, so 100%.</t>
      </text>
    </comment>
    <comment ref="AA13" authorId="0" shapeId="0">
      <text>
        <t>Guaranteed efficiency factor — Fin90, New-Build Gas Engine - Visayas 500MW
Source: Net basis: CF is already net, so 100%.</t>
      </text>
    </comment>
    <comment ref="F14" authorId="0" shapeId="0">
      <text>
        <t>Losses and own use — Fin42, Lot 1 Existing CCGT - Luzon
Source: Net basis: 0% (CF is net of own use).</t>
      </text>
    </comment>
    <comment ref="G14" authorId="0" shapeId="0">
      <text>
        <t>Losses and own use — Fin42, Lot 2 Existing CCGT - Luzon
Source: Net basis: 0% (CF is net of own use).</t>
      </text>
    </comment>
    <comment ref="H14" authorId="0" shapeId="0">
      <text>
        <t>Losses and own use — Fin42, New-Build CCGT - Luzon 1000MW
Source: Net basis: 0% (CF is net of own use).</t>
      </text>
    </comment>
    <comment ref="I14" authorId="0" shapeId="0">
      <text>
        <t>Losses and own use — Fin42, New-Build OCGT - Luzon 1000MW
Source: Net basis: 0% (CF is net of own use).</t>
      </text>
    </comment>
    <comment ref="J14" authorId="0" shapeId="0">
      <text>
        <t>Losses and own use — Fin42, New-Build Gas Engine - Luzon 1000MW
Source: Net basis: 0% (CF is net of own use).</t>
      </text>
    </comment>
    <comment ref="K14" authorId="0" shapeId="0">
      <text>
        <t>Losses and own use — Fin42, New-Build CCGT - Visayas 440MW
Source: Net basis: 0% (CF is net of own use).</t>
      </text>
    </comment>
    <comment ref="L14" authorId="0" shapeId="0">
      <text>
        <t>Losses and own use — Fin42, New-Build OCGT - Visayas 440MW
Source: Net basis: 0% (CF is net of own use).</t>
      </text>
    </comment>
    <comment ref="M14" authorId="0" shapeId="0">
      <text>
        <t>Losses and own use — Fin42, New-Build Gas Engine - Visayas 440MW
Source: Net basis: 0% (CF is net of own use).</t>
      </text>
    </comment>
    <comment ref="N14" authorId="0" shapeId="0">
      <text>
        <t>Losses and own use — Fin42, New-Build CCGT - Visayas 500MW
Source: Net basis: 0% (CF is net of own use).</t>
      </text>
    </comment>
    <comment ref="O14" authorId="0" shapeId="0">
      <text>
        <t>Losses and own use — Fin42, New-Build OCGT - Visayas 500MW
Source: Net basis: 0% (CF is net of own use).</t>
      </text>
    </comment>
    <comment ref="P14" authorId="0" shapeId="0">
      <text>
        <t>Losses and own use — Fin42, New-Build Gas Engine - Visayas 500MW
Source: Net basis: 0% (CF is net of own use).</t>
      </text>
    </comment>
    <comment ref="Q14" authorId="0" shapeId="0">
      <text>
        <t>Losses and own use — Fin90, Lot 1 Existing CCGT - Luzon
Source: Net basis: 0% (CF is net of own use).</t>
      </text>
    </comment>
    <comment ref="R14" authorId="0" shapeId="0">
      <text>
        <t>Losses and own use — Fin90, Lot 2 Existing CCGT - Luzon
Source: Net basis: 0% (CF is net of own use).</t>
      </text>
    </comment>
    <comment ref="S14" authorId="0" shapeId="0">
      <text>
        <t>Losses and own use — Fin90, New-Build CCGT - Luzon 1000MW
Source: Net basis: 0% (CF is net of own use).</t>
      </text>
    </comment>
    <comment ref="T14" authorId="0" shapeId="0">
      <text>
        <t>Losses and own use — Fin90, New-Build OCGT - Luzon 1000MW
Source: Net basis: 0% (CF is net of own use).</t>
      </text>
    </comment>
    <comment ref="U14" authorId="0" shapeId="0">
      <text>
        <t>Losses and own use — Fin90, New-Build Gas Engine - Luzon 1000MW
Source: Net basis: 0% (CF is net of own use).</t>
      </text>
    </comment>
    <comment ref="V14" authorId="0" shapeId="0">
      <text>
        <t>Losses and own use — Fin90, New-Build CCGT - Visayas 440MW
Source: Net basis: 0% (CF is net of own use).</t>
      </text>
    </comment>
    <comment ref="W14" authorId="0" shapeId="0">
      <text>
        <t>Losses and own use — Fin90, New-Build OCGT - Visayas 440MW
Source: Net basis: 0% (CF is net of own use).</t>
      </text>
    </comment>
    <comment ref="X14" authorId="0" shapeId="0">
      <text>
        <t>Losses and own use — Fin90, New-Build Gas Engine - Visayas 440MW
Source: Net basis: 0% (CF is net of own use).</t>
      </text>
    </comment>
    <comment ref="Y14" authorId="0" shapeId="0">
      <text>
        <t>Losses and own use — Fin90, New-Build CCGT - Visayas 500MW
Source: Net basis: 0% (CF is net of own use).</t>
      </text>
    </comment>
    <comment ref="Z14" authorId="0" shapeId="0">
      <text>
        <t>Losses and own use — Fin90, New-Build OCGT - Visayas 500MW
Source: Net basis: 0% (CF is net of own use).</t>
      </text>
    </comment>
    <comment ref="AA14" authorId="0" shapeId="0">
      <text>
        <t>Losses and own use — Fin90, New-Build Gas Engine - Visayas 500MW
Source: Net basis: 0% (CF is net of own use).</t>
      </text>
    </comment>
    <comment ref="F15" authorId="0" shapeId="0">
      <text>
        <t>Plant degradation — Fin42, Lot 1 Existing CCGT - Luzon
Source: 0.2% per year (draft Resolution 2, Annex A.20).</t>
      </text>
    </comment>
    <comment ref="G15" authorId="0" shapeId="0">
      <text>
        <t>Plant degradation — Fin42, Lot 2 Existing CCGT - Luzon
Source: 0.2% per year (draft Resolution 2, Annex A.20).</t>
      </text>
    </comment>
    <comment ref="H15" authorId="0" shapeId="0">
      <text>
        <t>Plant degradation — Fin42, New-Build CCGT - Luzon 1000MW
Source: 0.2% per year (draft Resolution 2, Annex A.20).</t>
      </text>
    </comment>
    <comment ref="I15" authorId="0" shapeId="0">
      <text>
        <t>Plant degradation — Fin42, New-Build OCGT - Luzon 1000MW
Source: 0.2% per year (draft Resolution 2, Annex A.20).</t>
      </text>
    </comment>
    <comment ref="J15" authorId="0" shapeId="0">
      <text>
        <t>Plant degradation — Fin42, New-Build Gas Engine - Luzon 1000MW
Source: 0.2% per year (draft Resolution 2, Annex A.20).</t>
      </text>
    </comment>
    <comment ref="K15" authorId="0" shapeId="0">
      <text>
        <t>Plant degradation — Fin42, New-Build CCGT - Visayas 440MW
Source: 0.2% per year (draft Resolution 2, Annex A.20).</t>
      </text>
    </comment>
    <comment ref="L15" authorId="0" shapeId="0">
      <text>
        <t>Plant degradation — Fin42, New-Build OCGT - Visayas 440MW
Source: 0.2% per year (draft Resolution 2, Annex A.20).</t>
      </text>
    </comment>
    <comment ref="M15" authorId="0" shapeId="0">
      <text>
        <t>Plant degradation — Fin42, New-Build Gas Engine - Visayas 440MW
Source: 0.2% per year (draft Resolution 2, Annex A.20).</t>
      </text>
    </comment>
    <comment ref="N15" authorId="0" shapeId="0">
      <text>
        <t>Plant degradation — Fin42, New-Build CCGT - Visayas 500MW
Source: 0.2% per year (draft Resolution 2, Annex A.20).</t>
      </text>
    </comment>
    <comment ref="O15" authorId="0" shapeId="0">
      <text>
        <t>Plant degradation — Fin42, New-Build OCGT - Visayas 500MW
Source: 0.2% per year (draft Resolution 2, Annex A.20).</t>
      </text>
    </comment>
    <comment ref="P15" authorId="0" shapeId="0">
      <text>
        <t>Plant degradation — Fin42, New-Build Gas Engine - Visayas 500MW
Source: 0.2% per year (draft Resolution 2, Annex A.20).</t>
      </text>
    </comment>
    <comment ref="Q15" authorId="0" shapeId="0">
      <text>
        <t>Plant degradation — Fin90, Lot 1 Existing CCGT - Luzon
Source: 0.2% per year (draft Resolution 2, Annex A.20).</t>
      </text>
    </comment>
    <comment ref="R15" authorId="0" shapeId="0">
      <text>
        <t>Plant degradation — Fin90, Lot 2 Existing CCGT - Luzon
Source: 0.2% per year (draft Resolution 2, Annex A.20).</t>
      </text>
    </comment>
    <comment ref="S15" authorId="0" shapeId="0">
      <text>
        <t>Plant degradation — Fin90, New-Build CCGT - Luzon 1000MW
Source: 0.2% per year (draft Resolution 2, Annex A.20).</t>
      </text>
    </comment>
    <comment ref="T15" authorId="0" shapeId="0">
      <text>
        <t>Plant degradation — Fin90, New-Build OCGT - Luzon 1000MW
Source: 0.2% per year (draft Resolution 2, Annex A.20).</t>
      </text>
    </comment>
    <comment ref="U15" authorId="0" shapeId="0">
      <text>
        <t>Plant degradation — Fin90, New-Build Gas Engine - Luzon 1000MW
Source: 0.2% per year (draft Resolution 2, Annex A.20).</t>
      </text>
    </comment>
    <comment ref="V15" authorId="0" shapeId="0">
      <text>
        <t>Plant degradation — Fin90, New-Build CCGT - Visayas 440MW
Source: 0.2% per year (draft Resolution 2, Annex A.20).</t>
      </text>
    </comment>
    <comment ref="W15" authorId="0" shapeId="0">
      <text>
        <t>Plant degradation — Fin90, New-Build OCGT - Visayas 440MW
Source: 0.2% per year (draft Resolution 2, Annex A.20).</t>
      </text>
    </comment>
    <comment ref="X15" authorId="0" shapeId="0">
      <text>
        <t>Plant degradation — Fin90, New-Build Gas Engine - Visayas 440MW
Source: 0.2% per year (draft Resolution 2, Annex A.20).</t>
      </text>
    </comment>
    <comment ref="Y15" authorId="0" shapeId="0">
      <text>
        <t>Plant degradation — Fin90, New-Build CCGT - Visayas 500MW
Source: 0.2% per year (draft Resolution 2, Annex A.20).</t>
      </text>
    </comment>
    <comment ref="Z15" authorId="0" shapeId="0">
      <text>
        <t>Plant degradation — Fin90, New-Build OCGT - Visayas 500MW
Source: 0.2% per year (draft Resolution 2, Annex A.20).</t>
      </text>
    </comment>
    <comment ref="AA15" authorId="0" shapeId="0">
      <text>
        <t>Plant degradation — Fin90, New-Build Gas Engine - Visayas 500MW
Source: 0.2% per year (draft Resolution 2, Annex A.20).</t>
      </text>
    </comment>
    <comment ref="F16" authorId="0" shapeId="0">
      <text>
        <t>Heat rate (for logistics cost only; fuel excluded) — Fin42, Lot 1 Existing CCGT - Luzon
Source: 6,350 Btu/kWh: heat-rate cap for existing F-class CCGT (design 5,900–6,100 + 7% cycling allowance); draft Resolution 2 / TOR summary.</t>
      </text>
    </comment>
    <comment ref="G16" authorId="0" shapeId="0">
      <text>
        <t>Heat rate (for logistics cost only; fuel excluded) — Fin42, Lot 2 Existing CCGT - Luzon
Source: 6,350 Btu/kWh: heat-rate cap for existing F-class CCGT (design 5,900–6,100 + 7% cycling allowance); draft Resolution 2 / TOR summary.</t>
      </text>
    </comment>
    <comment ref="H16" authorId="0" shapeId="0">
      <text>
        <t>Heat rate (for logistics cost only; fuel excluded) — Fin42, New-Build CCGT - Luzon 1000MW
Source: 6,100 Btu/kWh: cap for new H/J-class CCGT (design 5,800–5,900 + 5% cycling). Lazard v19: 6,475–6,550.</t>
      </text>
    </comment>
    <comment ref="I16" authorId="0" shapeId="0">
      <text>
        <t>Heat rate (for logistics cost only; fuel excluded) — Fin42, New-Build OCGT - Luzon 1000MW
Source: 9,800 Btu/kWh: OCGT cap (design 9,000–9,400 + 5% fast-start).</t>
      </text>
    </comment>
    <comment ref="J16" authorId="0" shapeId="0">
      <text>
        <t>Heat rate (for logistics cost only; fuel excluded) — Fin42, New-Build Gas Engine - Luzon 1000MW
Source: 8,000 Btu/kWh: gas-engine cap (design 7,600–7,800 + 4% ramping).</t>
      </text>
    </comment>
    <comment ref="K16" authorId="0" shapeId="0">
      <text>
        <t>Heat rate (for logistics cost only; fuel excluded) — Fin42, New-Build CCGT - Visayas 440MW
Source: 6,100 Btu/kWh: cap for new H/J-class CCGT (design 5,800–5,900 + 5% cycling). Lazard v19: 6,475–6,550.</t>
      </text>
    </comment>
    <comment ref="L16" authorId="0" shapeId="0">
      <text>
        <t>Heat rate (for logistics cost only; fuel excluded) — Fin42, New-Build OCGT - Visayas 440MW
Source: 9,800 Btu/kWh: OCGT cap (design 9,000–9,400 + 5% fast-start).</t>
      </text>
    </comment>
    <comment ref="M16" authorId="0" shapeId="0">
      <text>
        <t>Heat rate (for logistics cost only; fuel excluded) — Fin42, New-Build Gas Engine - Visayas 440MW
Source: 8,000 Btu/kWh: gas-engine cap (design 7,600–7,800 + 4% ramping).</t>
      </text>
    </comment>
    <comment ref="N16" authorId="0" shapeId="0">
      <text>
        <t>Heat rate (for logistics cost only; fuel excluded) — Fin42, New-Build CCGT - Visayas 500MW
Source: 6,100 Btu/kWh: cap for new H/J-class CCGT (design 5,800–5,900 + 5% cycling). Lazard v19: 6,475–6,550.</t>
      </text>
    </comment>
    <comment ref="O16" authorId="0" shapeId="0">
      <text>
        <t>Heat rate (for logistics cost only; fuel excluded) — Fin42, New-Build OCGT - Visayas 500MW
Source: 9,800 Btu/kWh: OCGT cap (design 9,000–9,400 + 5% fast-start).</t>
      </text>
    </comment>
    <comment ref="P16" authorId="0" shapeId="0">
      <text>
        <t>Heat rate (for logistics cost only; fuel excluded) — Fin42, New-Build Gas Engine - Visayas 500MW
Source: 8,000 Btu/kWh: gas-engine cap (design 7,600–7,800 + 4% ramping).</t>
      </text>
    </comment>
    <comment ref="Q16" authorId="0" shapeId="0">
      <text>
        <t>Heat rate (for logistics cost only; fuel excluded) — Fin90, Lot 1 Existing CCGT - Luzon
Source: 6,350 Btu/kWh: heat-rate cap for existing F-class CCGT (design 5,900–6,100 + 7% cycling allowance); draft Resolution 2 / TOR summary.</t>
      </text>
    </comment>
    <comment ref="R16" authorId="0" shapeId="0">
      <text>
        <t>Heat rate (for logistics cost only; fuel excluded) — Fin90, Lot 2 Existing CCGT - Luzon
Source: 6,350 Btu/kWh: heat-rate cap for existing F-class CCGT (design 5,900–6,100 + 7% cycling allowance); draft Resolution 2 / TOR summary.</t>
      </text>
    </comment>
    <comment ref="S16" authorId="0" shapeId="0">
      <text>
        <t>Heat rate (for logistics cost only; fuel excluded) — Fin90, New-Build CCGT - Luzon 1000MW
Source: 6,100 Btu/kWh: cap for new H/J-class CCGT (design 5,800–5,900 + 5% cycling). Lazard v19: 6,475–6,550.</t>
      </text>
    </comment>
    <comment ref="T16" authorId="0" shapeId="0">
      <text>
        <t>Heat rate (for logistics cost only; fuel excluded) — Fin90, New-Build OCGT - Luzon 1000MW
Source: 9,800 Btu/kWh: OCGT cap (design 9,000–9,400 + 5% fast-start).</t>
      </text>
    </comment>
    <comment ref="U16" authorId="0" shapeId="0">
      <text>
        <t>Heat rate (for logistics cost only; fuel excluded) — Fin90, New-Build Gas Engine - Luzon 1000MW
Source: 8,000 Btu/kWh: gas-engine cap (design 7,600–7,800 + 4% ramping).</t>
      </text>
    </comment>
    <comment ref="V16" authorId="0" shapeId="0">
      <text>
        <t>Heat rate (for logistics cost only; fuel excluded) — Fin90, New-Build CCGT - Visayas 440MW
Source: 6,100 Btu/kWh: cap for new H/J-class CCGT (design 5,800–5,900 + 5% cycling). Lazard v19: 6,475–6,550.</t>
      </text>
    </comment>
    <comment ref="W16" authorId="0" shapeId="0">
      <text>
        <t>Heat rate (for logistics cost only; fuel excluded) — Fin90, New-Build OCGT - Visayas 440MW
Source: 9,800 Btu/kWh: OCGT cap (design 9,000–9,400 + 5% fast-start).</t>
      </text>
    </comment>
    <comment ref="X16" authorId="0" shapeId="0">
      <text>
        <t>Heat rate (for logistics cost only; fuel excluded) — Fin90, New-Build Gas Engine - Visayas 440MW
Source: 8,000 Btu/kWh: gas-engine cap (design 7,600–7,800 + 4% ramping).</t>
      </text>
    </comment>
    <comment ref="Y16" authorId="0" shapeId="0">
      <text>
        <t>Heat rate (for logistics cost only; fuel excluded) — Fin90, New-Build CCGT - Visayas 500MW
Source: 6,100 Btu/kWh: cap for new H/J-class CCGT (design 5,800–5,900 + 5% cycling). Lazard v19: 6,475–6,550.</t>
      </text>
    </comment>
    <comment ref="Z16" authorId="0" shapeId="0">
      <text>
        <t>Heat rate (for logistics cost only; fuel excluded) — Fin90, New-Build OCGT - Visayas 500MW
Source: 9,800 Btu/kWh: OCGT cap (design 9,000–9,400 + 5% fast-start).</t>
      </text>
    </comment>
    <comment ref="AA16" authorId="0" shapeId="0">
      <text>
        <t>Heat rate (for logistics cost only; fuel excluded) — Fin90, New-Build Gas Engine - Visayas 500MW
Source: 8,000 Btu/kWh: gas-engine cap (design 7,600–7,800 + 4% ramping).</t>
      </text>
    </comment>
    <comment ref="F18" authorId="0" shapeId="0">
      <text>
        <t>Construction period — Fin42, Lot 1 Existing CCGT - Luzon
Source: 0 months: existing plant already built (e.g. Santa Rita, San Lorenzo) — capital at year 0, no interest during construction (instruction of 20 Oct 2026).</t>
      </text>
    </comment>
    <comment ref="G18" authorId="0" shapeId="0">
      <text>
        <t>Construction period — Fin42, Lot 2 Existing CCGT - Luzon
Source: 0 months: existing plant already built (e.g. Santa Rita, San Lorenzo) — capital at year 0, no interest during construction (instruction of 20 Oct 2026).</t>
      </text>
    </comment>
    <comment ref="H18" authorId="0" shapeId="0">
      <text>
        <t>Construction period — Fin42, New-Build CCGT - Luzon 1000MW
Source: 36 months: EPC milestone standard for CCGT (draft Resolution 2 cheat sheet).</t>
      </text>
    </comment>
    <comment ref="I18" authorId="0" shapeId="0">
      <text>
        <t>Construction period — Fin42, New-Build OCGT - Luzon 1000MW
Source: 24 months: OCGT (cheat sheet 1.5–2.0 yrs, upper end).</t>
      </text>
    </comment>
    <comment ref="J18" authorId="0" shapeId="0">
      <text>
        <t>Construction period — Fin42, New-Build Gas Engine - Luzon 1000MW
Source: 18 months: gas engines (cheat sheet 1.5–2.0 yrs, lower end).</t>
      </text>
    </comment>
    <comment ref="K18" authorId="0" shapeId="0">
      <text>
        <t>Construction period — Fin42, New-Build CCGT - Visayas 440MW
Source: 36 months: EPC milestone standard for CCGT (draft Resolution 2 cheat sheet).</t>
      </text>
    </comment>
    <comment ref="L18" authorId="0" shapeId="0">
      <text>
        <t>Construction period — Fin42, New-Build OCGT - Visayas 440MW
Source: 24 months: OCGT (cheat sheet 1.5–2.0 yrs, upper end).</t>
      </text>
    </comment>
    <comment ref="M18" authorId="0" shapeId="0">
      <text>
        <t>Construction period — Fin42, New-Build Gas Engine - Visayas 440MW
Source: 18 months: gas engines (cheat sheet 1.5–2.0 yrs, lower end).</t>
      </text>
    </comment>
    <comment ref="N18" authorId="0" shapeId="0">
      <text>
        <t>Construction period — Fin42, New-Build CCGT - Visayas 500MW
Source: 36 months: EPC milestone standard for CCGT (draft Resolution 2 cheat sheet).</t>
      </text>
    </comment>
    <comment ref="O18" authorId="0" shapeId="0">
      <text>
        <t>Construction period — Fin42, New-Build OCGT - Visayas 500MW
Source: 24 months: OCGT (cheat sheet 1.5–2.0 yrs, upper end).</t>
      </text>
    </comment>
    <comment ref="P18" authorId="0" shapeId="0">
      <text>
        <t>Construction period — Fin42, New-Build Gas Engine - Visayas 500MW
Source: 18 months: gas engines (cheat sheet 1.5–2.0 yrs, lower end).</t>
      </text>
    </comment>
    <comment ref="Q18" authorId="0" shapeId="0">
      <text>
        <t>Construction period — Fin90, Lot 1 Existing CCGT - Luzon
Source: 0 months: existing plant already built (e.g. Santa Rita, San Lorenzo) — capital at year 0, no interest during construction (instruction of 20 Oct 2026).</t>
      </text>
    </comment>
    <comment ref="R18" authorId="0" shapeId="0">
      <text>
        <t>Construction period — Fin90, Lot 2 Existing CCGT - Luzon
Source: 0 months: existing plant already built (e.g. Santa Rita, San Lorenzo) — capital at year 0, no interest during construction (instruction of 20 Oct 2026).</t>
      </text>
    </comment>
    <comment ref="S18" authorId="0" shapeId="0">
      <text>
        <t>Construction period — Fin90, New-Build CCGT - Luzon 1000MW
Source: 36 months: EPC milestone standard for CCGT (draft Resolution 2 cheat sheet).</t>
      </text>
    </comment>
    <comment ref="T18" authorId="0" shapeId="0">
      <text>
        <t>Construction period — Fin90, New-Build OCGT - Luzon 1000MW
Source: 24 months: OCGT (cheat sheet 1.5–2.0 yrs, upper end).</t>
      </text>
    </comment>
    <comment ref="U18" authorId="0" shapeId="0">
      <text>
        <t>Construction period — Fin90, New-Build Gas Engine - Luzon 1000MW
Source: 18 months: gas engines (cheat sheet 1.5–2.0 yrs, lower end).</t>
      </text>
    </comment>
    <comment ref="V18" authorId="0" shapeId="0">
      <text>
        <t>Construction period — Fin90, New-Build CCGT - Visayas 440MW
Source: 36 months: EPC milestone standard for CCGT (draft Resolution 2 cheat sheet).</t>
      </text>
    </comment>
    <comment ref="W18" authorId="0" shapeId="0">
      <text>
        <t>Construction period — Fin90, New-Build OCGT - Visayas 440MW
Source: 24 months: OCGT (cheat sheet 1.5–2.0 yrs, upper end).</t>
      </text>
    </comment>
    <comment ref="X18" authorId="0" shapeId="0">
      <text>
        <t>Construction period — Fin90, New-Build Gas Engine - Visayas 440MW
Source: 18 months: gas engines (cheat sheet 1.5–2.0 yrs, lower end).</t>
      </text>
    </comment>
    <comment ref="Y18" authorId="0" shapeId="0">
      <text>
        <t>Construction period — Fin90, New-Build CCGT - Visayas 500MW
Source: 36 months: EPC milestone standard for CCGT (draft Resolution 2 cheat sheet).</t>
      </text>
    </comment>
    <comment ref="Z18" authorId="0" shapeId="0">
      <text>
        <t>Construction period — Fin90, New-Build OCGT - Visayas 500MW
Source: 24 months: OCGT (cheat sheet 1.5–2.0 yrs, upper end).</t>
      </text>
    </comment>
    <comment ref="AA18" authorId="0" shapeId="0">
      <text>
        <t>Construction period — Fin90, New-Build Gas Engine - Visayas 500MW
Source: 18 months: gas engines (cheat sheet 1.5–2.0 yrs, lower end).</t>
      </text>
    </comment>
    <comment ref="F19" authorId="0" shapeId="0">
      <text>
        <t>Operating / cost-recovery period — Fin42, Lot 1 Existing CCGT - Luzon
Source: 30 years for every plant, existing and new: plant economic life used by the ERC for cost recovery, even though the TOR contract is shorter (instruction of 20 Oct 2026; GAIR Table 1 Operating Period).</t>
      </text>
    </comment>
    <comment ref="G19" authorId="0" shapeId="0">
      <text>
        <t>Operating / cost-recovery period — Fin42, Lot 2 Existing CCGT - Luzon
Source: 30 years for every plant, existing and new: plant economic life used by the ERC for cost recovery, even though the TOR contract is shorter (instruction of 20 Oct 2026; GAIR Table 1 Operating Period).</t>
      </text>
    </comment>
    <comment ref="H19" authorId="0" shapeId="0">
      <text>
        <t>Operating / cost-recovery period — Fin42, New-Build CCGT - Luzon 1000MW
Source: 30 years for every plant, existing and new: plant economic life used by the ERC for cost recovery, even though the TOR contract is shorter (instruction of 20 Oct 2026; GAIR Table 1 Operating Period).</t>
      </text>
    </comment>
    <comment ref="I19" authorId="0" shapeId="0">
      <text>
        <t>Operating / cost-recovery period — Fin42, New-Build OCGT - Luzon 1000MW
Source: 30 years for every plant, existing and new: plant economic life used by the ERC for cost recovery, even though the TOR contract is shorter (instruction of 20 Oct 2026; GAIR Table 1 Operating Period).</t>
      </text>
    </comment>
    <comment ref="J19" authorId="0" shapeId="0">
      <text>
        <t>Operating / cost-recovery period — Fin42, New-Build Gas Engine - Luzon 1000MW
Source: 30 years for every plant, existing and new: plant economic life used by the ERC for cost recovery, even though the TOR contract is shorter (instruction of 20 Oct 2026; GAIR Table 1 Operating Period).</t>
      </text>
    </comment>
    <comment ref="K19" authorId="0" shapeId="0">
      <text>
        <t>Operating / cost-recovery period — Fin42, New-Build CCGT - Visayas 440MW
Source: 30 years for every plant, existing and new: plant economic life used by the ERC for cost recovery, even though the TOR contract is shorter (instruction of 20 Oct 2026; GAIR Table 1 Operating Period).</t>
      </text>
    </comment>
    <comment ref="L19" authorId="0" shapeId="0">
      <text>
        <t>Operating / cost-recovery period — Fin42, New-Build OCGT - Visayas 440MW
Source: 30 years for every plant, existing and new: plant economic life used by the ERC for cost recovery, even though the TOR contract is shorter (instruction of 20 Oct 2026; GAIR Table 1 Operating Period).</t>
      </text>
    </comment>
    <comment ref="M19" authorId="0" shapeId="0">
      <text>
        <t>Operating / cost-recovery period — Fin42, New-Build Gas Engine - Visayas 440MW
Source: 30 years for every plant, existing and new: plant economic life used by the ERC for cost recovery, even though the TOR contract is shorter (instruction of 20 Oct 2026; GAIR Table 1 Operating Period).</t>
      </text>
    </comment>
    <comment ref="N19" authorId="0" shapeId="0">
      <text>
        <t>Operating / cost-recovery period — Fin42, New-Build CCGT - Visayas 500MW
Source: 30 years for every plant, existing and new: plant economic life used by the ERC for cost recovery, even though the TOR contract is shorter (instruction of 20 Oct 2026; GAIR Table 1 Operating Period).</t>
      </text>
    </comment>
    <comment ref="O19" authorId="0" shapeId="0">
      <text>
        <t>Operating / cost-recovery period — Fin42, New-Build OCGT - Visayas 500MW
Source: 30 years for every plant, existing and new: plant economic life used by the ERC for cost recovery, even though the TOR contract is shorter (instruction of 20 Oct 2026; GAIR Table 1 Operating Period).</t>
      </text>
    </comment>
    <comment ref="P19" authorId="0" shapeId="0">
      <text>
        <t>Operating / cost-recovery period — Fin42, New-Build Gas Engine - Visayas 500MW
Source: 30 years for every plant, existing and new: plant economic life used by the ERC for cost recovery, even though the TOR contract is shorter (instruction of 20 Oct 2026; GAIR Table 1 Operating Period).</t>
      </text>
    </comment>
    <comment ref="Q19" authorId="0" shapeId="0">
      <text>
        <t>Operating / cost-recovery period — Fin90, Lot 1 Existing CCGT - Luzon
Source: 30 years for every plant, existing and new: plant economic life used by the ERC for cost recovery, even though the TOR contract is shorter (instruction of 20 Oct 2026; GAIR Table 1 Operating Period).</t>
      </text>
    </comment>
    <comment ref="R19" authorId="0" shapeId="0">
      <text>
        <t>Operating / cost-recovery period — Fin90, Lot 2 Existing CCGT - Luzon
Source: 30 years for every plant, existing and new: plant economic life used by the ERC for cost recovery, even though the TOR contract is shorter (instruction of 20 Oct 2026; GAIR Table 1 Operating Period).</t>
      </text>
    </comment>
    <comment ref="S19" authorId="0" shapeId="0">
      <text>
        <t>Operating / cost-recovery period — Fin90, New-Build CCGT - Luzon 1000MW
Source: 30 years for every plant, existing and new: plant economic life used by the ERC for cost recovery, even though the TOR contract is shorter (instruction of 20 Oct 2026; GAIR Table 1 Operating Period).</t>
      </text>
    </comment>
    <comment ref="T19" authorId="0" shapeId="0">
      <text>
        <t>Operating / cost-recovery period — Fin90, New-Build OCGT - Luzon 1000MW
Source: 30 years for every plant, existing and new: plant economic life used by the ERC for cost recovery, even though the TOR contract is shorter (instruction of 20 Oct 2026; GAIR Table 1 Operating Period).</t>
      </text>
    </comment>
    <comment ref="U19" authorId="0" shapeId="0">
      <text>
        <t>Operating / cost-recovery period — Fin90, New-Build Gas Engine - Luzon 1000MW
Source: 30 years for every plant, existing and new: plant economic life used by the ERC for cost recovery, even though the TOR contract is shorter (instruction of 20 Oct 2026; GAIR Table 1 Operating Period).</t>
      </text>
    </comment>
    <comment ref="V19" authorId="0" shapeId="0">
      <text>
        <t>Operating / cost-recovery period — Fin90, New-Build CCGT - Visayas 440MW
Source: 30 years for every plant, existing and new: plant economic life used by the ERC for cost recovery, even though the TOR contract is shorter (instruction of 20 Oct 2026; GAIR Table 1 Operating Period).</t>
      </text>
    </comment>
    <comment ref="W19" authorId="0" shapeId="0">
      <text>
        <t>Operating / cost-recovery period — Fin90, New-Build OCGT - Visayas 440MW
Source: 30 years for every plant, existing and new: plant economic life used by the ERC for cost recovery, even though the TOR contract is shorter (instruction of 20 Oct 2026; GAIR Table 1 Operating Period).</t>
      </text>
    </comment>
    <comment ref="X19" authorId="0" shapeId="0">
      <text>
        <t>Operating / cost-recovery period — Fin90, New-Build Gas Engine - Visayas 440MW
Source: 30 years for every plant, existing and new: plant economic life used by the ERC for cost recovery, even though the TOR contract is shorter (instruction of 20 Oct 2026; GAIR Table 1 Operating Period).</t>
      </text>
    </comment>
    <comment ref="Y19" authorId="0" shapeId="0">
      <text>
        <t>Operating / cost-recovery period — Fin90, New-Build CCGT - Visayas 500MW
Source: 30 years for every plant, existing and new: plant economic life used by the ERC for cost recovery, even though the TOR contract is shorter (instruction of 20 Oct 2026; GAIR Table 1 Operating Period).</t>
      </text>
    </comment>
    <comment ref="Z19" authorId="0" shapeId="0">
      <text>
        <t>Operating / cost-recovery period — Fin90, New-Build OCGT - Visayas 500MW
Source: 30 years for every plant, existing and new: plant economic life used by the ERC for cost recovery, even though the TOR contract is shorter (instruction of 20 Oct 2026; GAIR Table 1 Operating Period).</t>
      </text>
    </comment>
    <comment ref="AA19" authorId="0" shapeId="0">
      <text>
        <t>Operating / cost-recovery period — Fin90, New-Build Gas Engine - Visayas 500MW
Source: 30 years for every plant, existing and new: plant economic life used by the ERC for cost recovery, even though the TOR contract is shorter (instruction of 20 Oct 2026; GAIR Table 1 Operating Period).</t>
      </text>
    </comment>
    <comment ref="F20" authorId="0" shapeId="0">
      <text>
        <t>TOR delivery commencement year — Fin42, Lot 1 Existing CCGT - Luzon
Source: DOE TOR Sec. 1.1. Inflation and FX escalation are zero in the model, so the year does not move the rate.</t>
      </text>
    </comment>
    <comment ref="G20" authorId="0" shapeId="0">
      <text>
        <t>TOR delivery commencement year — Fin42, Lot 2 Existing CCGT - Luzon
Source: DOE TOR Sec. 1.1. Inflation and FX escalation are zero in the model, so the year does not move the rate.</t>
      </text>
    </comment>
    <comment ref="H20" authorId="0" shapeId="0">
      <text>
        <t>TOR delivery commencement year — Fin42, New-Build CCGT - Luzon 1000MW
Source: DOE TOR Sec. 1.1. Inflation and FX escalation are zero in the model, so the year does not move the rate.</t>
      </text>
    </comment>
    <comment ref="I20" authorId="0" shapeId="0">
      <text>
        <t>TOR delivery commencement year — Fin42, New-Build OCGT - Luzon 1000MW
Source: DOE TOR Sec. 1.1. Inflation and FX escalation are zero in the model, so the year does not move the rate.</t>
      </text>
    </comment>
    <comment ref="J20" authorId="0" shapeId="0">
      <text>
        <t>TOR delivery commencement year — Fin42, New-Build Gas Engine - Luzon 1000MW
Source: DOE TOR Sec. 1.1. Inflation and FX escalation are zero in the model, so the year does not move the rate.</t>
      </text>
    </comment>
    <comment ref="K20" authorId="0" shapeId="0">
      <text>
        <t>TOR delivery commencement year — Fin42, New-Build CCGT - Visayas 440MW
Source: DOE TOR Sec. 1.1. Inflation and FX escalation are zero in the model, so the year does not move the rate.</t>
      </text>
    </comment>
    <comment ref="L20" authorId="0" shapeId="0">
      <text>
        <t>TOR delivery commencement year — Fin42, New-Build OCGT - Visayas 440MW
Source: DOE TOR Sec. 1.1. Inflation and FX escalation are zero in the model, so the year does not move the rate.</t>
      </text>
    </comment>
    <comment ref="M20" authorId="0" shapeId="0">
      <text>
        <t>TOR delivery commencement year — Fin42, New-Build Gas Engine - Visayas 440MW
Source: DOE TOR Sec. 1.1. Inflation and FX escalation are zero in the model, so the year does not move the rate.</t>
      </text>
    </comment>
    <comment ref="N20" authorId="0" shapeId="0">
      <text>
        <t>TOR delivery commencement year — Fin42, New-Build CCGT - Visayas 500MW
Source: DOE TOR Sec. 1.1. Inflation and FX escalation are zero in the model, so the year does not move the rate.</t>
      </text>
    </comment>
    <comment ref="O20" authorId="0" shapeId="0">
      <text>
        <t>TOR delivery commencement year — Fin42, New-Build OCGT - Visayas 500MW
Source: DOE TOR Sec. 1.1. Inflation and FX escalation are zero in the model, so the year does not move the rate.</t>
      </text>
    </comment>
    <comment ref="P20" authorId="0" shapeId="0">
      <text>
        <t>TOR delivery commencement year — Fin42, New-Build Gas Engine - Visayas 500MW
Source: DOE TOR Sec. 1.1. Inflation and FX escalation are zero in the model, so the year does not move the rate.</t>
      </text>
    </comment>
    <comment ref="Q20" authorId="0" shapeId="0">
      <text>
        <t>TOR delivery commencement year — Fin90, Lot 1 Existing CCGT - Luzon
Source: DOE TOR Sec. 1.1. Inflation and FX escalation are zero in the model, so the year does not move the rate.</t>
      </text>
    </comment>
    <comment ref="R20" authorId="0" shapeId="0">
      <text>
        <t>TOR delivery commencement year — Fin90, Lot 2 Existing CCGT - Luzon
Source: DOE TOR Sec. 1.1. Inflation and FX escalation are zero in the model, so the year does not move the rate.</t>
      </text>
    </comment>
    <comment ref="S20" authorId="0" shapeId="0">
      <text>
        <t>TOR delivery commencement year — Fin90, New-Build CCGT - Luzon 1000MW
Source: DOE TOR Sec. 1.1. Inflation and FX escalation are zero in the model, so the year does not move the rate.</t>
      </text>
    </comment>
    <comment ref="T20" authorId="0" shapeId="0">
      <text>
        <t>TOR delivery commencement year — Fin90, New-Build OCGT - Luzon 1000MW
Source: DOE TOR Sec. 1.1. Inflation and FX escalation are zero in the model, so the year does not move the rate.</t>
      </text>
    </comment>
    <comment ref="U20" authorId="0" shapeId="0">
      <text>
        <t>TOR delivery commencement year — Fin90, New-Build Gas Engine - Luzon 1000MW
Source: DOE TOR Sec. 1.1. Inflation and FX escalation are zero in the model, so the year does not move the rate.</t>
      </text>
    </comment>
    <comment ref="V20" authorId="0" shapeId="0">
      <text>
        <t>TOR delivery commencement year — Fin90, New-Build CCGT - Visayas 440MW
Source: DOE TOR Sec. 1.1. Inflation and FX escalation are zero in the model, so the year does not move the rate.</t>
      </text>
    </comment>
    <comment ref="W20" authorId="0" shapeId="0">
      <text>
        <t>TOR delivery commencement year — Fin90, New-Build OCGT - Visayas 440MW
Source: DOE TOR Sec. 1.1. Inflation and FX escalation are zero in the model, so the year does not move the rate.</t>
      </text>
    </comment>
    <comment ref="X20" authorId="0" shapeId="0">
      <text>
        <t>TOR delivery commencement year — Fin90, New-Build Gas Engine - Visayas 440MW
Source: DOE TOR Sec. 1.1. Inflation and FX escalation are zero in the model, so the year does not move the rate.</t>
      </text>
    </comment>
    <comment ref="Y20" authorId="0" shapeId="0">
      <text>
        <t>TOR delivery commencement year — Fin90, New-Build CCGT - Visayas 500MW
Source: DOE TOR Sec. 1.1. Inflation and FX escalation are zero in the model, so the year does not move the rate.</t>
      </text>
    </comment>
    <comment ref="Z20" authorId="0" shapeId="0">
      <text>
        <t>TOR delivery commencement year — Fin90, New-Build OCGT - Visayas 500MW
Source: DOE TOR Sec. 1.1. Inflation and FX escalation are zero in the model, so the year does not move the rate.</t>
      </text>
    </comment>
    <comment ref="AA20" authorId="0" shapeId="0">
      <text>
        <t>TOR delivery commencement year — Fin90, New-Build Gas Engine - Visayas 500MW
Source: DOE TOR Sec. 1.1. Inflation and FX escalation are zero in the model, so the year does not move the rate.</t>
      </text>
    </comment>
    <comment ref="F21" authorId="0" shapeId="0">
      <text>
        <t>TOR supply delivery period — Fin42, Lot 1 Existing CCGT - Luzon
Source: DOE TOR Sec. 1.2 (for reference; cost recovery uses 30 years).</t>
      </text>
    </comment>
    <comment ref="G21" authorId="0" shapeId="0">
      <text>
        <t>TOR supply delivery period — Fin42, Lot 2 Existing CCGT - Luzon
Source: DOE TOR Sec. 1.2 (for reference; cost recovery uses 30 years).</t>
      </text>
    </comment>
    <comment ref="H21" authorId="0" shapeId="0">
      <text>
        <t>TOR supply delivery period — Fin42, New-Build CCGT - Luzon 1000MW
Source: DOE TOR Sec. 1.2 (for reference; cost recovery uses 30 years).</t>
      </text>
    </comment>
    <comment ref="I21" authorId="0" shapeId="0">
      <text>
        <t>TOR supply delivery period — Fin42, New-Build OCGT - Luzon 1000MW
Source: DOE TOR Sec. 1.2 (for reference; cost recovery uses 30 years).</t>
      </text>
    </comment>
    <comment ref="J21" authorId="0" shapeId="0">
      <text>
        <t>TOR supply delivery period — Fin42, New-Build Gas Engine - Luzon 1000MW
Source: DOE TOR Sec. 1.2 (for reference; cost recovery uses 30 years).</t>
      </text>
    </comment>
    <comment ref="K21" authorId="0" shapeId="0">
      <text>
        <t>TOR supply delivery period — Fin42, New-Build CCGT - Visayas 440MW
Source: DOE TOR Sec. 1.2 (for reference; cost recovery uses 30 years).</t>
      </text>
    </comment>
    <comment ref="L21" authorId="0" shapeId="0">
      <text>
        <t>TOR supply delivery period — Fin42, New-Build OCGT - Visayas 440MW
Source: DOE TOR Sec. 1.2 (for reference; cost recovery uses 30 years).</t>
      </text>
    </comment>
    <comment ref="M21" authorId="0" shapeId="0">
      <text>
        <t>TOR supply delivery period — Fin42, New-Build Gas Engine - Visayas 440MW
Source: DOE TOR Sec. 1.2 (for reference; cost recovery uses 30 years).</t>
      </text>
    </comment>
    <comment ref="N21" authorId="0" shapeId="0">
      <text>
        <t>TOR supply delivery period — Fin42, New-Build CCGT - Visayas 500MW
Source: DOE TOR Sec. 1.2 (for reference; cost recovery uses 30 years).</t>
      </text>
    </comment>
    <comment ref="O21" authorId="0" shapeId="0">
      <text>
        <t>TOR supply delivery period — Fin42, New-Build OCGT - Visayas 500MW
Source: DOE TOR Sec. 1.2 (for reference; cost recovery uses 30 years).</t>
      </text>
    </comment>
    <comment ref="P21" authorId="0" shapeId="0">
      <text>
        <t>TOR supply delivery period — Fin42, New-Build Gas Engine - Visayas 500MW
Source: DOE TOR Sec. 1.2 (for reference; cost recovery uses 30 years).</t>
      </text>
    </comment>
    <comment ref="Q21" authorId="0" shapeId="0">
      <text>
        <t>TOR supply delivery period — Fin90, Lot 1 Existing CCGT - Luzon
Source: DOE TOR Sec. 1.2 (for reference; cost recovery uses 30 years).</t>
      </text>
    </comment>
    <comment ref="R21" authorId="0" shapeId="0">
      <text>
        <t>TOR supply delivery period — Fin90, Lot 2 Existing CCGT - Luzon
Source: DOE TOR Sec. 1.2 (for reference; cost recovery uses 30 years).</t>
      </text>
    </comment>
    <comment ref="S21" authorId="0" shapeId="0">
      <text>
        <t>TOR supply delivery period — Fin90, New-Build CCGT - Luzon 1000MW
Source: DOE TOR Sec. 1.2 (for reference; cost recovery uses 30 years).</t>
      </text>
    </comment>
    <comment ref="T21" authorId="0" shapeId="0">
      <text>
        <t>TOR supply delivery period — Fin90, New-Build OCGT - Luzon 1000MW
Source: DOE TOR Sec. 1.2 (for reference; cost recovery uses 30 years).</t>
      </text>
    </comment>
    <comment ref="U21" authorId="0" shapeId="0">
      <text>
        <t>TOR supply delivery period — Fin90, New-Build Gas Engine - Luzon 1000MW
Source: DOE TOR Sec. 1.2 (for reference; cost recovery uses 30 years).</t>
      </text>
    </comment>
    <comment ref="V21" authorId="0" shapeId="0">
      <text>
        <t>TOR supply delivery period — Fin90, New-Build CCGT - Visayas 440MW
Source: DOE TOR Sec. 1.2 (for reference; cost recovery uses 30 years).</t>
      </text>
    </comment>
    <comment ref="W21" authorId="0" shapeId="0">
      <text>
        <t>TOR supply delivery period — Fin90, New-Build OCGT - Visayas 440MW
Source: DOE TOR Sec. 1.2 (for reference; cost recovery uses 30 years).</t>
      </text>
    </comment>
    <comment ref="X21" authorId="0" shapeId="0">
      <text>
        <t>TOR supply delivery period — Fin90, New-Build Gas Engine - Visayas 440MW
Source: DOE TOR Sec. 1.2 (for reference; cost recovery uses 30 years).</t>
      </text>
    </comment>
    <comment ref="Y21" authorId="0" shapeId="0">
      <text>
        <t>TOR supply delivery period — Fin90, New-Build CCGT - Visayas 500MW
Source: DOE TOR Sec. 1.2 (for reference; cost recovery uses 30 years).</t>
      </text>
    </comment>
    <comment ref="Z21" authorId="0" shapeId="0">
      <text>
        <t>TOR supply delivery period — Fin90, New-Build OCGT - Visayas 500MW
Source: DOE TOR Sec. 1.2 (for reference; cost recovery uses 30 years).</t>
      </text>
    </comment>
    <comment ref="AA21" authorId="0" shapeId="0">
      <text>
        <t>TOR supply delivery period — Fin90, New-Build Gas Engine - Visayas 500MW
Source: DOE TOR Sec. 1.2 (for reference; cost recovery uses 30 years).</t>
      </text>
    </comment>
    <comment ref="F22" authorId="0" shapeId="0">
      <text>
        <t>Base year CPI and FX — Fin42, Lot 1 Existing CCGT - Luzon
Source: naruto / ERC Mid-Merit Financial Model default (ADV model reviewed 9 Oct 2026); unchanged across cases.</t>
      </text>
    </comment>
    <comment ref="G22" authorId="0" shapeId="0">
      <text>
        <t>Base year CPI and FX — Fin42, Lot 2 Existing CCGT - Luzon
Source: naruto / ERC Mid-Merit Financial Model default (ADV model reviewed 9 Oct 2026); unchanged across cases.</t>
      </text>
    </comment>
    <comment ref="H22" authorId="0" shapeId="0">
      <text>
        <t>Base year CPI and FX — Fin42, New-Build CCGT - Luzon 1000MW
Source: naruto / ERC Mid-Merit Financial Model default (ADV model reviewed 9 Oct 2026); unchanged across cases.</t>
      </text>
    </comment>
    <comment ref="I22" authorId="0" shapeId="0">
      <text>
        <t>Base year CPI and FX — Fin42, New-Build OCGT - Luzon 1000MW
Source: naruto / ERC Mid-Merit Financial Model default (ADV model reviewed 9 Oct 2026); unchanged across cases.</t>
      </text>
    </comment>
    <comment ref="J22" authorId="0" shapeId="0">
      <text>
        <t>Base year CPI and FX — Fin42, New-Build Gas Engine - Luzon 1000MW
Source: naruto / ERC Mid-Merit Financial Model default (ADV model reviewed 9 Oct 2026); unchanged across cases.</t>
      </text>
    </comment>
    <comment ref="K22" authorId="0" shapeId="0">
      <text>
        <t>Base year CPI and FX — Fin42, New-Build CCGT - Visayas 440MW
Source: naruto / ERC Mid-Merit Financial Model default (ADV model reviewed 9 Oct 2026); unchanged across cases.</t>
      </text>
    </comment>
    <comment ref="L22" authorId="0" shapeId="0">
      <text>
        <t>Base year CPI and FX — Fin42, New-Build OCGT - Visayas 440MW
Source: naruto / ERC Mid-Merit Financial Model default (ADV model reviewed 9 Oct 2026); unchanged across cases.</t>
      </text>
    </comment>
    <comment ref="M22" authorId="0" shapeId="0">
      <text>
        <t>Base year CPI and FX — Fin42, New-Build Gas Engine - Visayas 440MW
Source: naruto / ERC Mid-Merit Financial Model default (ADV model reviewed 9 Oct 2026); unchanged across cases.</t>
      </text>
    </comment>
    <comment ref="N22" authorId="0" shapeId="0">
      <text>
        <t>Base year CPI and FX — Fin42, New-Build CCGT - Visayas 500MW
Source: naruto / ERC Mid-Merit Financial Model default (ADV model reviewed 9 Oct 2026); unchanged across cases.</t>
      </text>
    </comment>
    <comment ref="O22" authorId="0" shapeId="0">
      <text>
        <t>Base year CPI and FX — Fin42, New-Build OCGT - Visayas 500MW
Source: naruto / ERC Mid-Merit Financial Model default (ADV model reviewed 9 Oct 2026); unchanged across cases.</t>
      </text>
    </comment>
    <comment ref="P22" authorId="0" shapeId="0">
      <text>
        <t>Base year CPI and FX — Fin42, New-Build Gas Engine - Visayas 500MW
Source: naruto / ERC Mid-Merit Financial Model default (ADV model reviewed 9 Oct 2026); unchanged across cases.</t>
      </text>
    </comment>
    <comment ref="Q22" authorId="0" shapeId="0">
      <text>
        <t>Base year CPI and FX — Fin90, Lot 1 Existing CCGT - Luzon
Source: naruto / ERC Mid-Merit Financial Model default (ADV model reviewed 9 Oct 2026); unchanged across cases.</t>
      </text>
    </comment>
    <comment ref="R22" authorId="0" shapeId="0">
      <text>
        <t>Base year CPI and FX — Fin90, Lot 2 Existing CCGT - Luzon
Source: naruto / ERC Mid-Merit Financial Model default (ADV model reviewed 9 Oct 2026); unchanged across cases.</t>
      </text>
    </comment>
    <comment ref="S22" authorId="0" shapeId="0">
      <text>
        <t>Base year CPI and FX — Fin90, New-Build CCGT - Luzon 1000MW
Source: naruto / ERC Mid-Merit Financial Model default (ADV model reviewed 9 Oct 2026); unchanged across cases.</t>
      </text>
    </comment>
    <comment ref="T22" authorId="0" shapeId="0">
      <text>
        <t>Base year CPI and FX — Fin90, New-Build OCGT - Luzon 1000MW
Source: naruto / ERC Mid-Merit Financial Model default (ADV model reviewed 9 Oct 2026); unchanged across cases.</t>
      </text>
    </comment>
    <comment ref="U22" authorId="0" shapeId="0">
      <text>
        <t>Base year CPI and FX — Fin90, New-Build Gas Engine - Luzon 1000MW
Source: naruto / ERC Mid-Merit Financial Model default (ADV model reviewed 9 Oct 2026); unchanged across cases.</t>
      </text>
    </comment>
    <comment ref="V22" authorId="0" shapeId="0">
      <text>
        <t>Base year CPI and FX — Fin90, New-Build CCGT - Visayas 440MW
Source: naruto / ERC Mid-Merit Financial Model default (ADV model reviewed 9 Oct 2026); unchanged across cases.</t>
      </text>
    </comment>
    <comment ref="W22" authorId="0" shapeId="0">
      <text>
        <t>Base year CPI and FX — Fin90, New-Build OCGT - Visayas 440MW
Source: naruto / ERC Mid-Merit Financial Model default (ADV model reviewed 9 Oct 2026); unchanged across cases.</t>
      </text>
    </comment>
    <comment ref="X22" authorId="0" shapeId="0">
      <text>
        <t>Base year CPI and FX — Fin90, New-Build Gas Engine - Visayas 440MW
Source: naruto / ERC Mid-Merit Financial Model default (ADV model reviewed 9 Oct 2026); unchanged across cases.</t>
      </text>
    </comment>
    <comment ref="Y22" authorId="0" shapeId="0">
      <text>
        <t>Base year CPI and FX — Fin90, New-Build CCGT - Visayas 500MW
Source: naruto / ERC Mid-Merit Financial Model default (ADV model reviewed 9 Oct 2026); unchanged across cases.</t>
      </text>
    </comment>
    <comment ref="Z22" authorId="0" shapeId="0">
      <text>
        <t>Base year CPI and FX — Fin90, New-Build OCGT - Visayas 500MW
Source: naruto / ERC Mid-Merit Financial Model default (ADV model reviewed 9 Oct 2026); unchanged across cases.</t>
      </text>
    </comment>
    <comment ref="AA22" authorId="0" shapeId="0">
      <text>
        <t>Base year CPI and FX — Fin90, New-Build Gas Engine - Visayas 500MW
Source: naruto / ERC Mid-Merit Financial Model default (ADV model reviewed 9 Oct 2026); unchanged across cases.</t>
      </text>
    </comment>
    <comment ref="F24" authorId="0" shapeId="0">
      <text>
        <t>Target all-in project cost — Fin42, Lot 1 Existing CCGT - Luzon
Source: US$450/kW existing (operational/retooled) CCGT: retrofit of a plant already built (mid_merit_gas_rates.xlsx, O&amp;M Rebasing tab: Operational/Retooled US$450M). For comparison, brownfield expansion averages US$600/kW (San Gabriel US$640, EERI US$588/kW).</t>
      </text>
    </comment>
    <comment ref="G24" authorId="0" shapeId="0">
      <text>
        <t>Target all-in project cost — Fin42, Lot 2 Existing CCGT - Luzon
Source: US$450/kW existing (operational/retooled) CCGT: retrofit of a plant already built (mid_merit_gas_rates.xlsx, O&amp;M Rebasing tab: Operational/Retooled US$450M). For comparison, brownfield expansion averages US$600/kW (San Gabriel US$640, EERI US$588/kW).</t>
      </text>
    </comment>
    <comment ref="H24" authorId="0" shapeId="0">
      <text>
        <t>Target all-in project cost — Fin42, New-Build CCGT - Luzon 1000MW
Source: US$900/kW greenfield CCGT: DOE / EPC market benchmarks 2026 (draft Resolution 2; claudenumbers/01_master_numbers_cheat_sheet.md). Lazard LCOE v19 (June 2026) quotes US$1,450–2,100/kW for CCGT; the ERC value sits below it.</t>
      </text>
    </comment>
    <comment ref="I24" authorId="0" shapeId="0">
      <text>
        <t>Target all-in project cost — Fin42, New-Build OCGT - Luzon 1000MW
Source: US$520/kW new OCGT: DOE / EPC market benchmarks 2026 (draft Resolution 2 cheat sheet).</t>
      </text>
    </comment>
    <comment ref="J24" authorId="0" shapeId="0">
      <text>
        <t>Target all-in project cost — Fin42, New-Build Gas Engine - Luzon 1000MW
Source: US$850/kW new gas-reciprocating engine plant: DOE / EPC market benchmarks 2026 (draft Resolution 2 cheat sheet).</t>
      </text>
    </comment>
    <comment ref="K24" authorId="0" shapeId="0">
      <text>
        <t>Target all-in project cost — Fin42, New-Build CCGT - Visayas 440MW
Source: US$900/kW greenfield CCGT: DOE / EPC market benchmarks 2026 (draft Resolution 2; claudenumbers/01_master_numbers_cheat_sheet.md). Lazard LCOE v19 (June 2026) quotes US$1,450–2,100/kW for CCGT; the ERC value sits below it.</t>
      </text>
    </comment>
    <comment ref="L24" authorId="0" shapeId="0">
      <text>
        <t>Target all-in project cost — Fin42, New-Build OCGT - Visayas 440MW
Source: US$520/kW new OCGT: DOE / EPC market benchmarks 2026 (draft Resolution 2 cheat sheet).</t>
      </text>
    </comment>
    <comment ref="M24" authorId="0" shapeId="0">
      <text>
        <t>Target all-in project cost — Fin42, New-Build Gas Engine - Visayas 440MW
Source: US$850/kW new gas-reciprocating engine plant: DOE / EPC market benchmarks 2026 (draft Resolution 2 cheat sheet).</t>
      </text>
    </comment>
    <comment ref="N24" authorId="0" shapeId="0">
      <text>
        <t>Target all-in project cost — Fin42, New-Build CCGT - Visayas 500MW
Source: US$900/kW greenfield CCGT: DOE / EPC market benchmarks 2026 (draft Resolution 2; claudenumbers/01_master_numbers_cheat_sheet.md). Lazard LCOE v19 (June 2026) quotes US$1,450–2,100/kW for CCGT; the ERC value sits below it.</t>
      </text>
    </comment>
    <comment ref="O24" authorId="0" shapeId="0">
      <text>
        <t>Target all-in project cost — Fin42, New-Build OCGT - Visayas 500MW
Source: US$520/kW new OCGT: DOE / EPC market benchmarks 2026 (draft Resolution 2 cheat sheet).</t>
      </text>
    </comment>
    <comment ref="P24" authorId="0" shapeId="0">
      <text>
        <t>Target all-in project cost — Fin42, New-Build Gas Engine - Visayas 500MW
Source: US$850/kW new gas-reciprocating engine plant: DOE / EPC market benchmarks 2026 (draft Resolution 2 cheat sheet).</t>
      </text>
    </comment>
    <comment ref="Q24" authorId="0" shapeId="0">
      <text>
        <t>Target all-in project cost — Fin90, Lot 1 Existing CCGT - Luzon
Source: US$450/kW existing (operational/retooled) CCGT: retrofit of a plant already built (mid_merit_gas_rates.xlsx, O&amp;M Rebasing tab: Operational/Retooled US$450M). For comparison, brownfield expansion averages US$600/kW (San Gabriel US$640, EERI US$588/kW).</t>
      </text>
    </comment>
    <comment ref="R24" authorId="0" shapeId="0">
      <text>
        <t>Target all-in project cost — Fin90, Lot 2 Existing CCGT - Luzon
Source: US$450/kW existing (operational/retooled) CCGT: retrofit of a plant already built (mid_merit_gas_rates.xlsx, O&amp;M Rebasing tab: Operational/Retooled US$450M). For comparison, brownfield expansion averages US$600/kW (San Gabriel US$640, EERI US$588/kW).</t>
      </text>
    </comment>
    <comment ref="S24" authorId="0" shapeId="0">
      <text>
        <t>Target all-in project cost — Fin90, New-Build CCGT - Luzon 1000MW
Source: US$900/kW greenfield CCGT: DOE / EPC market benchmarks 2026 (draft Resolution 2; claudenumbers/01_master_numbers_cheat_sheet.md). Lazard LCOE v19 (June 2026) quotes US$1,450–2,100/kW for CCGT; the ERC value sits below it.</t>
      </text>
    </comment>
    <comment ref="T24" authorId="0" shapeId="0">
      <text>
        <t>Target all-in project cost — Fin90, New-Build OCGT - Luzon 1000MW
Source: US$520/kW new OCGT: DOE / EPC market benchmarks 2026 (draft Resolution 2 cheat sheet).</t>
      </text>
    </comment>
    <comment ref="U24" authorId="0" shapeId="0">
      <text>
        <t>Target all-in project cost — Fin90, New-Build Gas Engine - Luzon 1000MW
Source: US$850/kW new gas-reciprocating engine plant: DOE / EPC market benchmarks 2026 (draft Resolution 2 cheat sheet).</t>
      </text>
    </comment>
    <comment ref="V24" authorId="0" shapeId="0">
      <text>
        <t>Target all-in project cost — Fin90, New-Build CCGT - Visayas 440MW
Source: US$900/kW greenfield CCGT: DOE / EPC market benchmarks 2026 (draft Resolution 2; claudenumbers/01_master_numbers_cheat_sheet.md). Lazard LCOE v19 (June 2026) quotes US$1,450–2,100/kW for CCGT; the ERC value sits below it.</t>
      </text>
    </comment>
    <comment ref="W24" authorId="0" shapeId="0">
      <text>
        <t>Target all-in project cost — Fin90, New-Build OCGT - Visayas 440MW
Source: US$520/kW new OCGT: DOE / EPC market benchmarks 2026 (draft Resolution 2 cheat sheet).</t>
      </text>
    </comment>
    <comment ref="X24" authorId="0" shapeId="0">
      <text>
        <t>Target all-in project cost — Fin90, New-Build Gas Engine - Visayas 440MW
Source: US$850/kW new gas-reciprocating engine plant: DOE / EPC market benchmarks 2026 (draft Resolution 2 cheat sheet).</t>
      </text>
    </comment>
    <comment ref="Y24" authorId="0" shapeId="0">
      <text>
        <t>Target all-in project cost — Fin90, New-Build CCGT - Visayas 500MW
Source: US$900/kW greenfield CCGT: DOE / EPC market benchmarks 2026 (draft Resolution 2; claudenumbers/01_master_numbers_cheat_sheet.md). Lazard LCOE v19 (June 2026) quotes US$1,450–2,100/kW for CCGT; the ERC value sits below it.</t>
      </text>
    </comment>
    <comment ref="Z24" authorId="0" shapeId="0">
      <text>
        <t>Target all-in project cost — Fin90, New-Build OCGT - Visayas 500MW
Source: US$520/kW new OCGT: DOE / EPC market benchmarks 2026 (draft Resolution 2 cheat sheet).</t>
      </text>
    </comment>
    <comment ref="AA24" authorId="0" shapeId="0">
      <text>
        <t>Target all-in project cost — Fin90, New-Build Gas Engine - Visayas 500MW
Source: US$850/kW new gas-reciprocating engine plant: DOE / EPC market benchmarks 2026 (draft Resolution 2 cheat sheet).</t>
      </text>
    </comment>
    <comment ref="F25" authorId="0" shapeId="0">
      <text>
        <t>All-in project cost reached by the model — Fin42, Lot 1 Existing CCGT - Luzon
Source: Model result after calibration; equals the target (calibration check C36 = 0).</t>
      </text>
    </comment>
    <comment ref="G25" authorId="0" shapeId="0">
      <text>
        <t>All-in project cost reached by the model — Fin42, Lot 2 Existing CCGT - Luzon
Source: Model result after calibration; equals the target (calibration check C36 = 0).</t>
      </text>
    </comment>
    <comment ref="H25" authorId="0" shapeId="0">
      <text>
        <t>All-in project cost reached by the model — Fin42, New-Build CCGT - Luzon 1000MW
Source: Model result after calibration; equals the target (calibration check C36 = 0).</t>
      </text>
    </comment>
    <comment ref="I25" authorId="0" shapeId="0">
      <text>
        <t>All-in project cost reached by the model — Fin42, New-Build OCGT - Luzon 1000MW
Source: Model result after calibration; equals the target (calibration check C36 = 0).</t>
      </text>
    </comment>
    <comment ref="J25" authorId="0" shapeId="0">
      <text>
        <t>All-in project cost reached by the model — Fin42, New-Build Gas Engine - Luzon 1000MW
Source: Model result after calibration; equals the target (calibration check C36 = 0).</t>
      </text>
    </comment>
    <comment ref="K25" authorId="0" shapeId="0">
      <text>
        <t>All-in project cost reached by the model — Fin42, New-Build CCGT - Visayas 440MW
Source: Model result after calibration; equals the target (calibration check C36 = 0).</t>
      </text>
    </comment>
    <comment ref="L25" authorId="0" shapeId="0">
      <text>
        <t>All-in project cost reached by the model — Fin42, New-Build OCGT - Visayas 440MW
Source: Model result after calibration; equals the target (calibration check C36 = 0).</t>
      </text>
    </comment>
    <comment ref="M25" authorId="0" shapeId="0">
      <text>
        <t>All-in project cost reached by the model — Fin42, New-Build Gas Engine - Visayas 440MW
Source: Model result after calibration; equals the target (calibration check C36 = 0).</t>
      </text>
    </comment>
    <comment ref="N25" authorId="0" shapeId="0">
      <text>
        <t>All-in project cost reached by the model — Fin42, New-Build CCGT - Visayas 500MW
Source: Model result after calibration; equals the target (calibration check C36 = 0).</t>
      </text>
    </comment>
    <comment ref="O25" authorId="0" shapeId="0">
      <text>
        <t>All-in project cost reached by the model — Fin42, New-Build OCGT - Visayas 500MW
Source: Model result after calibration; equals the target (calibration check C36 = 0).</t>
      </text>
    </comment>
    <comment ref="P25" authorId="0" shapeId="0">
      <text>
        <t>All-in project cost reached by the model — Fin42, New-Build Gas Engine - Visayas 500MW
Source: Model result after calibration; equals the target (calibration check C36 = 0).</t>
      </text>
    </comment>
    <comment ref="Q25" authorId="0" shapeId="0">
      <text>
        <t>All-in project cost reached by the model — Fin90, Lot 1 Existing CCGT - Luzon
Source: Model result after calibration; equals the target (calibration check C36 = 0).</t>
      </text>
    </comment>
    <comment ref="R25" authorId="0" shapeId="0">
      <text>
        <t>All-in project cost reached by the model — Fin90, Lot 2 Existing CCGT - Luzon
Source: Model result after calibration; equals the target (calibration check C36 = 0).</t>
      </text>
    </comment>
    <comment ref="S25" authorId="0" shapeId="0">
      <text>
        <t>All-in project cost reached by the model — Fin90, New-Build CCGT - Luzon 1000MW
Source: Model result after calibration; equals the target (calibration check C36 = 0).</t>
      </text>
    </comment>
    <comment ref="T25" authorId="0" shapeId="0">
      <text>
        <t>All-in project cost reached by the model — Fin90, New-Build OCGT - Luzon 1000MW
Source: Model result after calibration; equals the target (calibration check C36 = 0).</t>
      </text>
    </comment>
    <comment ref="U25" authorId="0" shapeId="0">
      <text>
        <t>All-in project cost reached by the model — Fin90, New-Build Gas Engine - Luzon 1000MW
Source: Model result after calibration; equals the target (calibration check C36 = 0).</t>
      </text>
    </comment>
    <comment ref="V25" authorId="0" shapeId="0">
      <text>
        <t>All-in project cost reached by the model — Fin90, New-Build CCGT - Visayas 440MW
Source: Model result after calibration; equals the target (calibration check C36 = 0).</t>
      </text>
    </comment>
    <comment ref="W25" authorId="0" shapeId="0">
      <text>
        <t>All-in project cost reached by the model — Fin90, New-Build OCGT - Visayas 440MW
Source: Model result after calibration; equals the target (calibration check C36 = 0).</t>
      </text>
    </comment>
    <comment ref="X25" authorId="0" shapeId="0">
      <text>
        <t>All-in project cost reached by the model — Fin90, New-Build Gas Engine - Visayas 440MW
Source: Model result after calibration; equals the target (calibration check C36 = 0).</t>
      </text>
    </comment>
    <comment ref="Y25" authorId="0" shapeId="0">
      <text>
        <t>All-in project cost reached by the model — Fin90, New-Build CCGT - Visayas 500MW
Source: Model result after calibration; equals the target (calibration check C36 = 0).</t>
      </text>
    </comment>
    <comment ref="Z25" authorId="0" shapeId="0">
      <text>
        <t>All-in project cost reached by the model — Fin90, New-Build OCGT - Visayas 500MW
Source: Model result after calibration; equals the target (calibration check C36 = 0).</t>
      </text>
    </comment>
    <comment ref="AA25" authorId="0" shapeId="0">
      <text>
        <t>All-in project cost reached by the model — Fin90, New-Build Gas Engine - Visayas 500MW
Source: Model result after calibration; equals the target (calibration check C36 = 0).</t>
      </text>
    </comment>
    <comment ref="F26" authorId="0" shapeId="0">
      <text>
        <t>Equipment cost ex BOP (calibrated) — Fin42, Lot 1 Existing CCGT - Luzon
Source: Set by the solver so that the all-in cost equals the target (Goal Seek C36 = 0 by changing F15).</t>
      </text>
    </comment>
    <comment ref="G26" authorId="0" shapeId="0">
      <text>
        <t>Equipment cost ex BOP (calibrated) — Fin42, Lot 2 Existing CCGT - Luzon
Source: Set by the solver so that the all-in cost equals the target (Goal Seek C36 = 0 by changing F15).</t>
      </text>
    </comment>
    <comment ref="H26" authorId="0" shapeId="0">
      <text>
        <t>Equipment cost ex BOP (calibrated) — Fin42, New-Build CCGT - Luzon 1000MW
Source: Set by the solver so that the all-in cost equals the target (Goal Seek C36 = 0 by changing F15).</t>
      </text>
    </comment>
    <comment ref="I26" authorId="0" shapeId="0">
      <text>
        <t>Equipment cost ex BOP (calibrated) — Fin42, New-Build OCGT - Luzon 1000MW
Source: Set by the solver so that the all-in cost equals the target (Goal Seek C36 = 0 by changing F15).</t>
      </text>
    </comment>
    <comment ref="J26" authorId="0" shapeId="0">
      <text>
        <t>Equipment cost ex BOP (calibrated) — Fin42, New-Build Gas Engine - Luzon 1000MW
Source: Set by the solver so that the all-in cost equals the target (Goal Seek C36 = 0 by changing F15).</t>
      </text>
    </comment>
    <comment ref="K26" authorId="0" shapeId="0">
      <text>
        <t>Equipment cost ex BOP (calibrated) — Fin42, New-Build CCGT - Visayas 440MW
Source: Set by the solver so that the all-in cost equals the target (Goal Seek C36 = 0 by changing F15).</t>
      </text>
    </comment>
    <comment ref="L26" authorId="0" shapeId="0">
      <text>
        <t>Equipment cost ex BOP (calibrated) — Fin42, New-Build OCGT - Visayas 440MW
Source: Set by the solver so that the all-in cost equals the target (Goal Seek C36 = 0 by changing F15).</t>
      </text>
    </comment>
    <comment ref="M26" authorId="0" shapeId="0">
      <text>
        <t>Equipment cost ex BOP (calibrated) — Fin42, New-Build Gas Engine - Visayas 440MW
Source: Set by the solver so that the all-in cost equals the target (Goal Seek C36 = 0 by changing F15).</t>
      </text>
    </comment>
    <comment ref="N26" authorId="0" shapeId="0">
      <text>
        <t>Equipment cost ex BOP (calibrated) — Fin42, New-Build CCGT - Visayas 500MW
Source: Set by the solver so that the all-in cost equals the target (Goal Seek C36 = 0 by changing F15).</t>
      </text>
    </comment>
    <comment ref="O26" authorId="0" shapeId="0">
      <text>
        <t>Equipment cost ex BOP (calibrated) — Fin42, New-Build OCGT - Visayas 500MW
Source: Set by the solver so that the all-in cost equals the target (Goal Seek C36 = 0 by changing F15).</t>
      </text>
    </comment>
    <comment ref="P26" authorId="0" shapeId="0">
      <text>
        <t>Equipment cost ex BOP (calibrated) — Fin42, New-Build Gas Engine - Visayas 500MW
Source: Set by the solver so that the all-in cost equals the target (Goal Seek C36 = 0 by changing F15).</t>
      </text>
    </comment>
    <comment ref="Q26" authorId="0" shapeId="0">
      <text>
        <t>Equipment cost ex BOP (calibrated) — Fin90, Lot 1 Existing CCGT - Luzon
Source: Set by the solver so that the all-in cost equals the target (Goal Seek C36 = 0 by changing F15).</t>
      </text>
    </comment>
    <comment ref="R26" authorId="0" shapeId="0">
      <text>
        <t>Equipment cost ex BOP (calibrated) — Fin90, Lot 2 Existing CCGT - Luzon
Source: Set by the solver so that the all-in cost equals the target (Goal Seek C36 = 0 by changing F15).</t>
      </text>
    </comment>
    <comment ref="S26" authorId="0" shapeId="0">
      <text>
        <t>Equipment cost ex BOP (calibrated) — Fin90, New-Build CCGT - Luzon 1000MW
Source: Set by the solver so that the all-in cost equals the target (Goal Seek C36 = 0 by changing F15).</t>
      </text>
    </comment>
    <comment ref="T26" authorId="0" shapeId="0">
      <text>
        <t>Equipment cost ex BOP (calibrated) — Fin90, New-Build OCGT - Luzon 1000MW
Source: Set by the solver so that the all-in cost equals the target (Goal Seek C36 = 0 by changing F15).</t>
      </text>
    </comment>
    <comment ref="U26" authorId="0" shapeId="0">
      <text>
        <t>Equipment cost ex BOP (calibrated) — Fin90, New-Build Gas Engine - Luzon 1000MW
Source: Set by the solver so that the all-in cost equals the target (Goal Seek C36 = 0 by changing F15).</t>
      </text>
    </comment>
    <comment ref="V26" authorId="0" shapeId="0">
      <text>
        <t>Equipment cost ex BOP (calibrated) — Fin90, New-Build CCGT - Visayas 440MW
Source: Set by the solver so that the all-in cost equals the target (Goal Seek C36 = 0 by changing F15).</t>
      </text>
    </comment>
    <comment ref="W26" authorId="0" shapeId="0">
      <text>
        <t>Equipment cost ex BOP (calibrated) — Fin90, New-Build OCGT - Visayas 440MW
Source: Set by the solver so that the all-in cost equals the target (Goal Seek C36 = 0 by changing F15).</t>
      </text>
    </comment>
    <comment ref="X26" authorId="0" shapeId="0">
      <text>
        <t>Equipment cost ex BOP (calibrated) — Fin90, New-Build Gas Engine - Visayas 440MW
Source: Set by the solver so that the all-in cost equals the target (Goal Seek C36 = 0 by changing F15).</t>
      </text>
    </comment>
    <comment ref="Y26" authorId="0" shapeId="0">
      <text>
        <t>Equipment cost ex BOP (calibrated) — Fin90, New-Build CCGT - Visayas 500MW
Source: Set by the solver so that the all-in cost equals the target (Goal Seek C36 = 0 by changing F15).</t>
      </text>
    </comment>
    <comment ref="Z26" authorId="0" shapeId="0">
      <text>
        <t>Equipment cost ex BOP (calibrated) — Fin90, New-Build OCGT - Visayas 500MW
Source: Set by the solver so that the all-in cost equals the target (Goal Seek C36 = 0 by changing F15).</t>
      </text>
    </comment>
    <comment ref="AA26" authorId="0" shapeId="0">
      <text>
        <t>Equipment cost ex BOP (calibrated) — Fin90, New-Build Gas Engine - Visayas 500MW
Source: Set by the solver so that the all-in cost equals the target (Goal Seek C36 = 0 by changing F15).</t>
      </text>
    </comment>
    <comment ref="F27" authorId="0" shapeId="0">
      <text>
        <t>Insurance, freight, transport — Fin42, Lot 1 Existing CCGT - Luzon
Source: naruto / ERC Mid-Merit Financial Model default (ADV model reviewed 9 Oct 2026); unchanged across cases.</t>
      </text>
    </comment>
    <comment ref="G27" authorId="0" shapeId="0">
      <text>
        <t>Insurance, freight, transport — Fin42, Lot 2 Existing CCGT - Luzon
Source: naruto / ERC Mid-Merit Financial Model default (ADV model reviewed 9 Oct 2026); unchanged across cases.</t>
      </text>
    </comment>
    <comment ref="H27" authorId="0" shapeId="0">
      <text>
        <t>Insurance, freight, transport — Fin42, New-Build CCGT - Luzon 1000MW
Source: naruto / ERC Mid-Merit Financial Model default (ADV model reviewed 9 Oct 2026); unchanged across cases.</t>
      </text>
    </comment>
    <comment ref="I27" authorId="0" shapeId="0">
      <text>
        <t>Insurance, freight, transport — Fin42, New-Build OCGT - Luzon 1000MW
Source: naruto / ERC Mid-Merit Financial Model default (ADV model reviewed 9 Oct 2026); unchanged across cases.</t>
      </text>
    </comment>
    <comment ref="J27" authorId="0" shapeId="0">
      <text>
        <t>Insurance, freight, transport — Fin42, New-Build Gas Engine - Luzon 1000MW
Source: naruto / ERC Mid-Merit Financial Model default (ADV model reviewed 9 Oct 2026); unchanged across cases.</t>
      </text>
    </comment>
    <comment ref="K27" authorId="0" shapeId="0">
      <text>
        <t>Insurance, freight, transport — Fin42, New-Build CCGT - Visayas 440MW
Source: naruto / ERC Mid-Merit Financial Model default (ADV model reviewed 9 Oct 2026); unchanged across cases.</t>
      </text>
    </comment>
    <comment ref="L27" authorId="0" shapeId="0">
      <text>
        <t>Insurance, freight, transport — Fin42, New-Build OCGT - Visayas 440MW
Source: naruto / ERC Mid-Merit Financial Model default (ADV model reviewed 9 Oct 2026); unchanged across cases.</t>
      </text>
    </comment>
    <comment ref="M27" authorId="0" shapeId="0">
      <text>
        <t>Insurance, freight, transport — Fin42, New-Build Gas Engine - Visayas 440MW
Source: naruto / ERC Mid-Merit Financial Model default (ADV model reviewed 9 Oct 2026); unchanged across cases.</t>
      </text>
    </comment>
    <comment ref="N27" authorId="0" shapeId="0">
      <text>
        <t>Insurance, freight, transport — Fin42, New-Build CCGT - Visayas 500MW
Source: naruto / ERC Mid-Merit Financial Model default (ADV model reviewed 9 Oct 2026); unchanged across cases.</t>
      </text>
    </comment>
    <comment ref="O27" authorId="0" shapeId="0">
      <text>
        <t>Insurance, freight, transport — Fin42, New-Build OCGT - Visayas 500MW
Source: naruto / ERC Mid-Merit Financial Model default (ADV model reviewed 9 Oct 2026); unchanged across cases.</t>
      </text>
    </comment>
    <comment ref="P27" authorId="0" shapeId="0">
      <text>
        <t>Insurance, freight, transport — Fin42, New-Build Gas Engine - Visayas 500MW
Source: naruto / ERC Mid-Merit Financial Model default (ADV model reviewed 9 Oct 2026); unchanged across cases.</t>
      </text>
    </comment>
    <comment ref="Q27" authorId="0" shapeId="0">
      <text>
        <t>Insurance, freight, transport — Fin90, Lot 1 Existing CCGT - Luzon
Source: naruto / ERC Mid-Merit Financial Model default (ADV model reviewed 9 Oct 2026); unchanged across cases.</t>
      </text>
    </comment>
    <comment ref="R27" authorId="0" shapeId="0">
      <text>
        <t>Insurance, freight, transport — Fin90, Lot 2 Existing CCGT - Luzon
Source: naruto / ERC Mid-Merit Financial Model default (ADV model reviewed 9 Oct 2026); unchanged across cases.</t>
      </text>
    </comment>
    <comment ref="S27" authorId="0" shapeId="0">
      <text>
        <t>Insurance, freight, transport — Fin90, New-Build CCGT - Luzon 1000MW
Source: naruto / ERC Mid-Merit Financial Model default (ADV model reviewed 9 Oct 2026); unchanged across cases.</t>
      </text>
    </comment>
    <comment ref="T27" authorId="0" shapeId="0">
      <text>
        <t>Insurance, freight, transport — Fin90, New-Build OCGT - Luzon 1000MW
Source: naruto / ERC Mid-Merit Financial Model default (ADV model reviewed 9 Oct 2026); unchanged across cases.</t>
      </text>
    </comment>
    <comment ref="U27" authorId="0" shapeId="0">
      <text>
        <t>Insurance, freight, transport — Fin90, New-Build Gas Engine - Luzon 1000MW
Source: naruto / ERC Mid-Merit Financial Model default (ADV model reviewed 9 Oct 2026); unchanged across cases.</t>
      </text>
    </comment>
    <comment ref="V27" authorId="0" shapeId="0">
      <text>
        <t>Insurance, freight, transport — Fin90, New-Build CCGT - Visayas 440MW
Source: naruto / ERC Mid-Merit Financial Model default (ADV model reviewed 9 Oct 2026); unchanged across cases.</t>
      </text>
    </comment>
    <comment ref="W27" authorId="0" shapeId="0">
      <text>
        <t>Insurance, freight, transport — Fin90, New-Build OCGT - Visayas 440MW
Source: naruto / ERC Mid-Merit Financial Model default (ADV model reviewed 9 Oct 2026); unchanged across cases.</t>
      </text>
    </comment>
    <comment ref="X27" authorId="0" shapeId="0">
      <text>
        <t>Insurance, freight, transport — Fin90, New-Build Gas Engine - Visayas 440MW
Source: naruto / ERC Mid-Merit Financial Model default (ADV model reviewed 9 Oct 2026); unchanged across cases.</t>
      </text>
    </comment>
    <comment ref="Y27" authorId="0" shapeId="0">
      <text>
        <t>Insurance, freight, transport — Fin90, New-Build CCGT - Visayas 500MW
Source: naruto / ERC Mid-Merit Financial Model default (ADV model reviewed 9 Oct 2026); unchanged across cases.</t>
      </text>
    </comment>
    <comment ref="Z27" authorId="0" shapeId="0">
      <text>
        <t>Insurance, freight, transport — Fin90, New-Build OCGT - Visayas 500MW
Source: naruto / ERC Mid-Merit Financial Model default (ADV model reviewed 9 Oct 2026); unchanged across cases.</t>
      </text>
    </comment>
    <comment ref="AA27" authorId="0" shapeId="0">
      <text>
        <t>Insurance, freight, transport — Fin90, New-Build Gas Engine - Visayas 500MW
Source: naruto / ERC Mid-Merit Financial Model default (ADV model reviewed 9 Oct 2026); unchanged across cases.</t>
      </text>
    </comment>
    <comment ref="F28" authorId="0" shapeId="0">
      <text>
        <t>Balance of plant — Fin42, Lot 1 Existing CCGT - Luzon
Source: naruto / ERC Mid-Merit Financial Model default (ADV model reviewed 9 Oct 2026); unchanged across cases.</t>
      </text>
    </comment>
    <comment ref="G28" authorId="0" shapeId="0">
      <text>
        <t>Balance of plant — Fin42, Lot 2 Existing CCGT - Luzon
Source: naruto / ERC Mid-Merit Financial Model default (ADV model reviewed 9 Oct 2026); unchanged across cases.</t>
      </text>
    </comment>
    <comment ref="H28" authorId="0" shapeId="0">
      <text>
        <t>Balance of plant — Fin42, New-Build CCGT - Luzon 1000MW
Source: naruto / ERC Mid-Merit Financial Model default (ADV model reviewed 9 Oct 2026); unchanged across cases.</t>
      </text>
    </comment>
    <comment ref="I28" authorId="0" shapeId="0">
      <text>
        <t>Balance of plant — Fin42, New-Build OCGT - Luzon 1000MW
Source: naruto / ERC Mid-Merit Financial Model default (ADV model reviewed 9 Oct 2026); unchanged across cases.</t>
      </text>
    </comment>
    <comment ref="J28" authorId="0" shapeId="0">
      <text>
        <t>Balance of plant — Fin42, New-Build Gas Engine - Luzon 1000MW
Source: naruto / ERC Mid-Merit Financial Model default (ADV model reviewed 9 Oct 2026); unchanged across cases.</t>
      </text>
    </comment>
    <comment ref="K28" authorId="0" shapeId="0">
      <text>
        <t>Balance of plant — Fin42, New-Build CCGT - Visayas 440MW
Source: naruto / ERC Mid-Merit Financial Model default (ADV model reviewed 9 Oct 2026); unchanged across cases.</t>
      </text>
    </comment>
    <comment ref="L28" authorId="0" shapeId="0">
      <text>
        <t>Balance of plant — Fin42, New-Build OCGT - Visayas 440MW
Source: naruto / ERC Mid-Merit Financial Model default (ADV model reviewed 9 Oct 2026); unchanged across cases.</t>
      </text>
    </comment>
    <comment ref="M28" authorId="0" shapeId="0">
      <text>
        <t>Balance of plant — Fin42, New-Build Gas Engine - Visayas 440MW
Source: naruto / ERC Mid-Merit Financial Model default (ADV model reviewed 9 Oct 2026); unchanged across cases.</t>
      </text>
    </comment>
    <comment ref="N28" authorId="0" shapeId="0">
      <text>
        <t>Balance of plant — Fin42, New-Build CCGT - Visayas 500MW
Source: naruto / ERC Mid-Merit Financial Model default (ADV model reviewed 9 Oct 2026); unchanged across cases.</t>
      </text>
    </comment>
    <comment ref="O28" authorId="0" shapeId="0">
      <text>
        <t>Balance of plant — Fin42, New-Build OCGT - Visayas 500MW
Source: naruto / ERC Mid-Merit Financial Model default (ADV model reviewed 9 Oct 2026); unchanged across cases.</t>
      </text>
    </comment>
    <comment ref="P28" authorId="0" shapeId="0">
      <text>
        <t>Balance of plant — Fin42, New-Build Gas Engine - Visayas 500MW
Source: naruto / ERC Mid-Merit Financial Model default (ADV model reviewed 9 Oct 2026); unchanged across cases.</t>
      </text>
    </comment>
    <comment ref="Q28" authorId="0" shapeId="0">
      <text>
        <t>Balance of plant — Fin90, Lot 1 Existing CCGT - Luzon
Source: naruto / ERC Mid-Merit Financial Model default (ADV model reviewed 9 Oct 2026); unchanged across cases.</t>
      </text>
    </comment>
    <comment ref="R28" authorId="0" shapeId="0">
      <text>
        <t>Balance of plant — Fin90, Lot 2 Existing CCGT - Luzon
Source: naruto / ERC Mid-Merit Financial Model default (ADV model reviewed 9 Oct 2026); unchanged across cases.</t>
      </text>
    </comment>
    <comment ref="S28" authorId="0" shapeId="0">
      <text>
        <t>Balance of plant — Fin90, New-Build CCGT - Luzon 1000MW
Source: naruto / ERC Mid-Merit Financial Model default (ADV model reviewed 9 Oct 2026); unchanged across cases.</t>
      </text>
    </comment>
    <comment ref="T28" authorId="0" shapeId="0">
      <text>
        <t>Balance of plant — Fin90, New-Build OCGT - Luzon 1000MW
Source: naruto / ERC Mid-Merit Financial Model default (ADV model reviewed 9 Oct 2026); unchanged across cases.</t>
      </text>
    </comment>
    <comment ref="U28" authorId="0" shapeId="0">
      <text>
        <t>Balance of plant — Fin90, New-Build Gas Engine - Luzon 1000MW
Source: naruto / ERC Mid-Merit Financial Model default (ADV model reviewed 9 Oct 2026); unchanged across cases.</t>
      </text>
    </comment>
    <comment ref="V28" authorId="0" shapeId="0">
      <text>
        <t>Balance of plant — Fin90, New-Build CCGT - Visayas 440MW
Source: naruto / ERC Mid-Merit Financial Model default (ADV model reviewed 9 Oct 2026); unchanged across cases.</t>
      </text>
    </comment>
    <comment ref="W28" authorId="0" shapeId="0">
      <text>
        <t>Balance of plant — Fin90, New-Build OCGT - Visayas 440MW
Source: naruto / ERC Mid-Merit Financial Model default (ADV model reviewed 9 Oct 2026); unchanged across cases.</t>
      </text>
    </comment>
    <comment ref="X28" authorId="0" shapeId="0">
      <text>
        <t>Balance of plant — Fin90, New-Build Gas Engine - Visayas 440MW
Source: naruto / ERC Mid-Merit Financial Model default (ADV model reviewed 9 Oct 2026); unchanged across cases.</t>
      </text>
    </comment>
    <comment ref="Y28" authorId="0" shapeId="0">
      <text>
        <t>Balance of plant — Fin90, New-Build CCGT - Visayas 500MW
Source: naruto / ERC Mid-Merit Financial Model default (ADV model reviewed 9 Oct 2026); unchanged across cases.</t>
      </text>
    </comment>
    <comment ref="Z28" authorId="0" shapeId="0">
      <text>
        <t>Balance of plant — Fin90, New-Build OCGT - Visayas 500MW
Source: naruto / ERC Mid-Merit Financial Model default (ADV model reviewed 9 Oct 2026); unchanged across cases.</t>
      </text>
    </comment>
    <comment ref="AA28" authorId="0" shapeId="0">
      <text>
        <t>Balance of plant — Fin90, New-Build Gas Engine - Visayas 500MW
Source: naruto / ERC Mid-Merit Financial Model default (ADV model reviewed 9 Oct 2026); unchanged across cases.</t>
      </text>
    </comment>
    <comment ref="F29" authorId="0" shapeId="0">
      <text>
        <t>Development and other costs — Fin42, Lot 1 Existing CCGT - Luzon
Source: naruto / ERC Mid-Merit Financial Model default (ADV model reviewed 9 Oct 2026); unchanged across cases.</t>
      </text>
    </comment>
    <comment ref="G29" authorId="0" shapeId="0">
      <text>
        <t>Development and other costs — Fin42, Lot 2 Existing CCGT - Luzon
Source: naruto / ERC Mid-Merit Financial Model default (ADV model reviewed 9 Oct 2026); unchanged across cases.</t>
      </text>
    </comment>
    <comment ref="H29" authorId="0" shapeId="0">
      <text>
        <t>Development and other costs — Fin42, New-Build CCGT - Luzon 1000MW
Source: naruto / ERC Mid-Merit Financial Model default (ADV model reviewed 9 Oct 2026); unchanged across cases.</t>
      </text>
    </comment>
    <comment ref="I29" authorId="0" shapeId="0">
      <text>
        <t>Development and other costs — Fin42, New-Build OCGT - Luzon 1000MW
Source: naruto / ERC Mid-Merit Financial Model default (ADV model reviewed 9 Oct 2026); unchanged across cases.</t>
      </text>
    </comment>
    <comment ref="J29" authorId="0" shapeId="0">
      <text>
        <t>Development and other costs — Fin42, New-Build Gas Engine - Luzon 1000MW
Source: naruto / ERC Mid-Merit Financial Model default (ADV model reviewed 9 Oct 2026); unchanged across cases.</t>
      </text>
    </comment>
    <comment ref="K29" authorId="0" shapeId="0">
      <text>
        <t>Development and other costs — Fin42, New-Build CCGT - Visayas 440MW
Source: naruto / ERC Mid-Merit Financial Model default (ADV model reviewed 9 Oct 2026); unchanged across cases.</t>
      </text>
    </comment>
    <comment ref="L29" authorId="0" shapeId="0">
      <text>
        <t>Development and other costs — Fin42, New-Build OCGT - Visayas 440MW
Source: naruto / ERC Mid-Merit Financial Model default (ADV model reviewed 9 Oct 2026); unchanged across cases.</t>
      </text>
    </comment>
    <comment ref="M29" authorId="0" shapeId="0">
      <text>
        <t>Development and other costs — Fin42, New-Build Gas Engine - Visayas 440MW
Source: naruto / ERC Mid-Merit Financial Model default (ADV model reviewed 9 Oct 2026); unchanged across cases.</t>
      </text>
    </comment>
    <comment ref="N29" authorId="0" shapeId="0">
      <text>
        <t>Development and other costs — Fin42, New-Build CCGT - Visayas 500MW
Source: naruto / ERC Mid-Merit Financial Model default (ADV model reviewed 9 Oct 2026); unchanged across cases.</t>
      </text>
    </comment>
    <comment ref="O29" authorId="0" shapeId="0">
      <text>
        <t>Development and other costs — Fin42, New-Build OCGT - Visayas 500MW
Source: naruto / ERC Mid-Merit Financial Model default (ADV model reviewed 9 Oct 2026); unchanged across cases.</t>
      </text>
    </comment>
    <comment ref="P29" authorId="0" shapeId="0">
      <text>
        <t>Development and other costs — Fin42, New-Build Gas Engine - Visayas 500MW
Source: naruto / ERC Mid-Merit Financial Model default (ADV model reviewed 9 Oct 2026); unchanged across cases.</t>
      </text>
    </comment>
    <comment ref="Q29" authorId="0" shapeId="0">
      <text>
        <t>Development and other costs — Fin90, Lot 1 Existing CCGT - Luzon
Source: naruto / ERC Mid-Merit Financial Model default (ADV model reviewed 9 Oct 2026); unchanged across cases.</t>
      </text>
    </comment>
    <comment ref="R29" authorId="0" shapeId="0">
      <text>
        <t>Development and other costs — Fin90, Lot 2 Existing CCGT - Luzon
Source: naruto / ERC Mid-Merit Financial Model default (ADV model reviewed 9 Oct 2026); unchanged across cases.</t>
      </text>
    </comment>
    <comment ref="S29" authorId="0" shapeId="0">
      <text>
        <t>Development and other costs — Fin90, New-Build CCGT - Luzon 1000MW
Source: naruto / ERC Mid-Merit Financial Model default (ADV model reviewed 9 Oct 2026); unchanged across cases.</t>
      </text>
    </comment>
    <comment ref="T29" authorId="0" shapeId="0">
      <text>
        <t>Development and other costs — Fin90, New-Build OCGT - Luzon 1000MW
Source: naruto / ERC Mid-Merit Financial Model default (ADV model reviewed 9 Oct 2026); unchanged across cases.</t>
      </text>
    </comment>
    <comment ref="U29" authorId="0" shapeId="0">
      <text>
        <t>Development and other costs — Fin90, New-Build Gas Engine - Luzon 1000MW
Source: naruto / ERC Mid-Merit Financial Model default (ADV model reviewed 9 Oct 2026); unchanged across cases.</t>
      </text>
    </comment>
    <comment ref="V29" authorId="0" shapeId="0">
      <text>
        <t>Development and other costs — Fin90, New-Build CCGT - Visayas 440MW
Source: naruto / ERC Mid-Merit Financial Model default (ADV model reviewed 9 Oct 2026); unchanged across cases.</t>
      </text>
    </comment>
    <comment ref="W29" authorId="0" shapeId="0">
      <text>
        <t>Development and other costs — Fin90, New-Build OCGT - Visayas 440MW
Source: naruto / ERC Mid-Merit Financial Model default (ADV model reviewed 9 Oct 2026); unchanged across cases.</t>
      </text>
    </comment>
    <comment ref="X29" authorId="0" shapeId="0">
      <text>
        <t>Development and other costs — Fin90, New-Build Gas Engine - Visayas 440MW
Source: naruto / ERC Mid-Merit Financial Model default (ADV model reviewed 9 Oct 2026); unchanged across cases.</t>
      </text>
    </comment>
    <comment ref="Y29" authorId="0" shapeId="0">
      <text>
        <t>Development and other costs — Fin90, New-Build CCGT - Visayas 500MW
Source: naruto / ERC Mid-Merit Financial Model default (ADV model reviewed 9 Oct 2026); unchanged across cases.</t>
      </text>
    </comment>
    <comment ref="Z29" authorId="0" shapeId="0">
      <text>
        <t>Development and other costs — Fin90, New-Build OCGT - Visayas 500MW
Source: naruto / ERC Mid-Merit Financial Model default (ADV model reviewed 9 Oct 2026); unchanged across cases.</t>
      </text>
    </comment>
    <comment ref="AA29" authorId="0" shapeId="0">
      <text>
        <t>Development and other costs — Fin90, New-Build Gas Engine - Visayas 500MW
Source: naruto / ERC Mid-Merit Financial Model default (ADV model reviewed 9 Oct 2026); unchanged across cases.</t>
      </text>
    </comment>
    <comment ref="F30" authorId="0" shapeId="0">
      <text>
        <t>Initial working capital — Fin42, Lot 1 Existing CCGT - Luzon
Source: naruto / ERC Mid-Merit Financial Model default (ADV model reviewed 9 Oct 2026); unchanged across cases. (Annex A.24).</t>
      </text>
    </comment>
    <comment ref="G30" authorId="0" shapeId="0">
      <text>
        <t>Initial working capital — Fin42, Lot 2 Existing CCGT - Luzon
Source: naruto / ERC Mid-Merit Financial Model default (ADV model reviewed 9 Oct 2026); unchanged across cases. (Annex A.24).</t>
      </text>
    </comment>
    <comment ref="H30" authorId="0" shapeId="0">
      <text>
        <t>Initial working capital — Fin42, New-Build CCGT - Luzon 1000MW
Source: naruto / ERC Mid-Merit Financial Model default (ADV model reviewed 9 Oct 2026); unchanged across cases. (Annex A.24).</t>
      </text>
    </comment>
    <comment ref="I30" authorId="0" shapeId="0">
      <text>
        <t>Initial working capital — Fin42, New-Build OCGT - Luzon 1000MW
Source: naruto / ERC Mid-Merit Financial Model default (ADV model reviewed 9 Oct 2026); unchanged across cases. (Annex A.24).</t>
      </text>
    </comment>
    <comment ref="J30" authorId="0" shapeId="0">
      <text>
        <t>Initial working capital — Fin42, New-Build Gas Engine - Luzon 1000MW
Source: naruto / ERC Mid-Merit Financial Model default (ADV model reviewed 9 Oct 2026); unchanged across cases. (Annex A.24).</t>
      </text>
    </comment>
    <comment ref="K30" authorId="0" shapeId="0">
      <text>
        <t>Initial working capital — Fin42, New-Build CCGT - Visayas 440MW
Source: naruto / ERC Mid-Merit Financial Model default (ADV model reviewed 9 Oct 2026); unchanged across cases. (Annex A.24).</t>
      </text>
    </comment>
    <comment ref="L30" authorId="0" shapeId="0">
      <text>
        <t>Initial working capital — Fin42, New-Build OCGT - Visayas 440MW
Source: naruto / ERC Mid-Merit Financial Model default (ADV model reviewed 9 Oct 2026); unchanged across cases. (Annex A.24).</t>
      </text>
    </comment>
    <comment ref="M30" authorId="0" shapeId="0">
      <text>
        <t>Initial working capital — Fin42, New-Build Gas Engine - Visayas 440MW
Source: naruto / ERC Mid-Merit Financial Model default (ADV model reviewed 9 Oct 2026); unchanged across cases. (Annex A.24).</t>
      </text>
    </comment>
    <comment ref="N30" authorId="0" shapeId="0">
      <text>
        <t>Initial working capital — Fin42, New-Build CCGT - Visayas 500MW
Source: naruto / ERC Mid-Merit Financial Model default (ADV model reviewed 9 Oct 2026); unchanged across cases. (Annex A.24).</t>
      </text>
    </comment>
    <comment ref="O30" authorId="0" shapeId="0">
      <text>
        <t>Initial working capital — Fin42, New-Build OCGT - Visayas 500MW
Source: naruto / ERC Mid-Merit Financial Model default (ADV model reviewed 9 Oct 2026); unchanged across cases. (Annex A.24).</t>
      </text>
    </comment>
    <comment ref="P30" authorId="0" shapeId="0">
      <text>
        <t>Initial working capital — Fin42, New-Build Gas Engine - Visayas 500MW
Source: naruto / ERC Mid-Merit Financial Model default (ADV model reviewed 9 Oct 2026); unchanged across cases. (Annex A.24).</t>
      </text>
    </comment>
    <comment ref="Q30" authorId="0" shapeId="0">
      <text>
        <t>Initial working capital — Fin90, Lot 1 Existing CCGT - Luzon
Source: naruto / ERC Mid-Merit Financial Model default (ADV model reviewed 9 Oct 2026); unchanged across cases. (Annex A.24).</t>
      </text>
    </comment>
    <comment ref="R30" authorId="0" shapeId="0">
      <text>
        <t>Initial working capital — Fin90, Lot 2 Existing CCGT - Luzon
Source: naruto / ERC Mid-Merit Financial Model default (ADV model reviewed 9 Oct 2026); unchanged across cases. (Annex A.24).</t>
      </text>
    </comment>
    <comment ref="S30" authorId="0" shapeId="0">
      <text>
        <t>Initial working capital — Fin90, New-Build CCGT - Luzon 1000MW
Source: naruto / ERC Mid-Merit Financial Model default (ADV model reviewed 9 Oct 2026); unchanged across cases. (Annex A.24).</t>
      </text>
    </comment>
    <comment ref="T30" authorId="0" shapeId="0">
      <text>
        <t>Initial working capital — Fin90, New-Build OCGT - Luzon 1000MW
Source: naruto / ERC Mid-Merit Financial Model default (ADV model reviewed 9 Oct 2026); unchanged across cases. (Annex A.24).</t>
      </text>
    </comment>
    <comment ref="U30" authorId="0" shapeId="0">
      <text>
        <t>Initial working capital — Fin90, New-Build Gas Engine - Luzon 1000MW
Source: naruto / ERC Mid-Merit Financial Model default (ADV model reviewed 9 Oct 2026); unchanged across cases. (Annex A.24).</t>
      </text>
    </comment>
    <comment ref="V30" authorId="0" shapeId="0">
      <text>
        <t>Initial working capital — Fin90, New-Build CCGT - Visayas 440MW
Source: naruto / ERC Mid-Merit Financial Model default (ADV model reviewed 9 Oct 2026); unchanged across cases. (Annex A.24).</t>
      </text>
    </comment>
    <comment ref="W30" authorId="0" shapeId="0">
      <text>
        <t>Initial working capital — Fin90, New-Build OCGT - Visayas 440MW
Source: naruto / ERC Mid-Merit Financial Model default (ADV model reviewed 9 Oct 2026); unchanged across cases. (Annex A.24).</t>
      </text>
    </comment>
    <comment ref="X30" authorId="0" shapeId="0">
      <text>
        <t>Initial working capital — Fin90, New-Build Gas Engine - Visayas 440MW
Source: naruto / ERC Mid-Merit Financial Model default (ADV model reviewed 9 Oct 2026); unchanged across cases. (Annex A.24).</t>
      </text>
    </comment>
    <comment ref="Y30" authorId="0" shapeId="0">
      <text>
        <t>Initial working capital — Fin90, New-Build CCGT - Visayas 500MW
Source: naruto / ERC Mid-Merit Financial Model default (ADV model reviewed 9 Oct 2026); unchanged across cases. (Annex A.24).</t>
      </text>
    </comment>
    <comment ref="Z30" authorId="0" shapeId="0">
      <text>
        <t>Initial working capital — Fin90, New-Build OCGT - Visayas 500MW
Source: naruto / ERC Mid-Merit Financial Model default (ADV model reviewed 9 Oct 2026); unchanged across cases. (Annex A.24).</t>
      </text>
    </comment>
    <comment ref="AA30" authorId="0" shapeId="0">
      <text>
        <t>Initial working capital — Fin90, New-Build Gas Engine - Visayas 500MW
Source: naruto / ERC Mid-Merit Financial Model default (ADV model reviewed 9 Oct 2026); unchanged across cases. (Annex A.24).</t>
      </text>
    </comment>
    <comment ref="F31" authorId="0" shapeId="0">
      <text>
        <t>Contingency — Fin42, Lot 1 Existing CCGT - Luzon
Source: naruto / ERC Mid-Merit Financial Model default (ADV model reviewed 9 Oct 2026); unchanged across cases.</t>
      </text>
    </comment>
    <comment ref="G31" authorId="0" shapeId="0">
      <text>
        <t>Contingency — Fin42, Lot 2 Existing CCGT - Luzon
Source: naruto / ERC Mid-Merit Financial Model default (ADV model reviewed 9 Oct 2026); unchanged across cases.</t>
      </text>
    </comment>
    <comment ref="H31" authorId="0" shapeId="0">
      <text>
        <t>Contingency — Fin42, New-Build CCGT - Luzon 1000MW
Source: naruto / ERC Mid-Merit Financial Model default (ADV model reviewed 9 Oct 2026); unchanged across cases.</t>
      </text>
    </comment>
    <comment ref="I31" authorId="0" shapeId="0">
      <text>
        <t>Contingency — Fin42, New-Build OCGT - Luzon 1000MW
Source: naruto / ERC Mid-Merit Financial Model default (ADV model reviewed 9 Oct 2026); unchanged across cases.</t>
      </text>
    </comment>
    <comment ref="J31" authorId="0" shapeId="0">
      <text>
        <t>Contingency — Fin42, New-Build Gas Engine - Luzon 1000MW
Source: naruto / ERC Mid-Merit Financial Model default (ADV model reviewed 9 Oct 2026); unchanged across cases.</t>
      </text>
    </comment>
    <comment ref="K31" authorId="0" shapeId="0">
      <text>
        <t>Contingency — Fin42, New-Build CCGT - Visayas 440MW
Source: naruto / ERC Mid-Merit Financial Model default (ADV model reviewed 9 Oct 2026); unchanged across cases.</t>
      </text>
    </comment>
    <comment ref="L31" authorId="0" shapeId="0">
      <text>
        <t>Contingency — Fin42, New-Build OCGT - Visayas 440MW
Source: naruto / ERC Mid-Merit Financial Model default (ADV model reviewed 9 Oct 2026); unchanged across cases.</t>
      </text>
    </comment>
    <comment ref="M31" authorId="0" shapeId="0">
      <text>
        <t>Contingency — Fin42, New-Build Gas Engine - Visayas 440MW
Source: naruto / ERC Mid-Merit Financial Model default (ADV model reviewed 9 Oct 2026); unchanged across cases.</t>
      </text>
    </comment>
    <comment ref="N31" authorId="0" shapeId="0">
      <text>
        <t>Contingency — Fin42, New-Build CCGT - Visayas 500MW
Source: naruto / ERC Mid-Merit Financial Model default (ADV model reviewed 9 Oct 2026); unchanged across cases.</t>
      </text>
    </comment>
    <comment ref="O31" authorId="0" shapeId="0">
      <text>
        <t>Contingency — Fin42, New-Build OCGT - Visayas 500MW
Source: naruto / ERC Mid-Merit Financial Model default (ADV model reviewed 9 Oct 2026); unchanged across cases.</t>
      </text>
    </comment>
    <comment ref="P31" authorId="0" shapeId="0">
      <text>
        <t>Contingency — Fin42, New-Build Gas Engine - Visayas 500MW
Source: naruto / ERC Mid-Merit Financial Model default (ADV model reviewed 9 Oct 2026); unchanged across cases.</t>
      </text>
    </comment>
    <comment ref="Q31" authorId="0" shapeId="0">
      <text>
        <t>Contingency — Fin90, Lot 1 Existing CCGT - Luzon
Source: naruto / ERC Mid-Merit Financial Model default (ADV model reviewed 9 Oct 2026); unchanged across cases.</t>
      </text>
    </comment>
    <comment ref="R31" authorId="0" shapeId="0">
      <text>
        <t>Contingency — Fin90, Lot 2 Existing CCGT - Luzon
Source: naruto / ERC Mid-Merit Financial Model default (ADV model reviewed 9 Oct 2026); unchanged across cases.</t>
      </text>
    </comment>
    <comment ref="S31" authorId="0" shapeId="0">
      <text>
        <t>Contingency — Fin90, New-Build CCGT - Luzon 1000MW
Source: naruto / ERC Mid-Merit Financial Model default (ADV model reviewed 9 Oct 2026); unchanged across cases.</t>
      </text>
    </comment>
    <comment ref="T31" authorId="0" shapeId="0">
      <text>
        <t>Contingency — Fin90, New-Build OCGT - Luzon 1000MW
Source: naruto / ERC Mid-Merit Financial Model default (ADV model reviewed 9 Oct 2026); unchanged across cases.</t>
      </text>
    </comment>
    <comment ref="U31" authorId="0" shapeId="0">
      <text>
        <t>Contingency — Fin90, New-Build Gas Engine - Luzon 1000MW
Source: naruto / ERC Mid-Merit Financial Model default (ADV model reviewed 9 Oct 2026); unchanged across cases.</t>
      </text>
    </comment>
    <comment ref="V31" authorId="0" shapeId="0">
      <text>
        <t>Contingency — Fin90, New-Build CCGT - Visayas 440MW
Source: naruto / ERC Mid-Merit Financial Model default (ADV model reviewed 9 Oct 2026); unchanged across cases.</t>
      </text>
    </comment>
    <comment ref="W31" authorId="0" shapeId="0">
      <text>
        <t>Contingency — Fin90, New-Build OCGT - Visayas 440MW
Source: naruto / ERC Mid-Merit Financial Model default (ADV model reviewed 9 Oct 2026); unchanged across cases.</t>
      </text>
    </comment>
    <comment ref="X31" authorId="0" shapeId="0">
      <text>
        <t>Contingency — Fin90, New-Build Gas Engine - Visayas 440MW
Source: naruto / ERC Mid-Merit Financial Model default (ADV model reviewed 9 Oct 2026); unchanged across cases.</t>
      </text>
    </comment>
    <comment ref="Y31" authorId="0" shapeId="0">
      <text>
        <t>Contingency — Fin90, New-Build CCGT - Visayas 500MW
Source: naruto / ERC Mid-Merit Financial Model default (ADV model reviewed 9 Oct 2026); unchanged across cases.</t>
      </text>
    </comment>
    <comment ref="Z31" authorId="0" shapeId="0">
      <text>
        <t>Contingency — Fin90, New-Build OCGT - Visayas 500MW
Source: naruto / ERC Mid-Merit Financial Model default (ADV model reviewed 9 Oct 2026); unchanged across cases.</t>
      </text>
    </comment>
    <comment ref="AA31" authorId="0" shapeId="0">
      <text>
        <t>Contingency — Fin90, New-Build Gas Engine - Visayas 500MW
Source: naruto / ERC Mid-Merit Financial Model default (ADV model reviewed 9 Oct 2026); unchanged across cases.</t>
      </text>
    </comment>
    <comment ref="F32" authorId="0" shapeId="0">
      <text>
        <t>Salvage value — Fin42, Lot 1 Existing CCGT - Luzon
Source: 10% received in the last year (GAIR 8.8.7; C91 = 1).</t>
      </text>
    </comment>
    <comment ref="G32" authorId="0" shapeId="0">
      <text>
        <t>Salvage value — Fin42, Lot 2 Existing CCGT - Luzon
Source: 10% received in the last year (GAIR 8.8.7; C91 = 1).</t>
      </text>
    </comment>
    <comment ref="H32" authorId="0" shapeId="0">
      <text>
        <t>Salvage value — Fin42, New-Build CCGT - Luzon 1000MW
Source: 10% received in the last year (GAIR 8.8.7; C91 = 1).</t>
      </text>
    </comment>
    <comment ref="I32" authorId="0" shapeId="0">
      <text>
        <t>Salvage value — Fin42, New-Build OCGT - Luzon 1000MW
Source: 10% received in the last year (GAIR 8.8.7; C91 = 1).</t>
      </text>
    </comment>
    <comment ref="J32" authorId="0" shapeId="0">
      <text>
        <t>Salvage value — Fin42, New-Build Gas Engine - Luzon 1000MW
Source: 10% received in the last year (GAIR 8.8.7; C91 = 1).</t>
      </text>
    </comment>
    <comment ref="K32" authorId="0" shapeId="0">
      <text>
        <t>Salvage value — Fin42, New-Build CCGT - Visayas 440MW
Source: 10% received in the last year (GAIR 8.8.7; C91 = 1).</t>
      </text>
    </comment>
    <comment ref="L32" authorId="0" shapeId="0">
      <text>
        <t>Salvage value — Fin42, New-Build OCGT - Visayas 440MW
Source: 10% received in the last year (GAIR 8.8.7; C91 = 1).</t>
      </text>
    </comment>
    <comment ref="M32" authorId="0" shapeId="0">
      <text>
        <t>Salvage value — Fin42, New-Build Gas Engine - Visayas 440MW
Source: 10% received in the last year (GAIR 8.8.7; C91 = 1).</t>
      </text>
    </comment>
    <comment ref="N32" authorId="0" shapeId="0">
      <text>
        <t>Salvage value — Fin42, New-Build CCGT - Visayas 500MW
Source: 10% received in the last year (GAIR 8.8.7; C91 = 1).</t>
      </text>
    </comment>
    <comment ref="O32" authorId="0" shapeId="0">
      <text>
        <t>Salvage value — Fin42, New-Build OCGT - Visayas 500MW
Source: 10% received in the last year (GAIR 8.8.7; C91 = 1).</t>
      </text>
    </comment>
    <comment ref="P32" authorId="0" shapeId="0">
      <text>
        <t>Salvage value — Fin42, New-Build Gas Engine - Visayas 500MW
Source: 10% received in the last year (GAIR 8.8.7; C91 = 1).</t>
      </text>
    </comment>
    <comment ref="Q32" authorId="0" shapeId="0">
      <text>
        <t>Salvage value — Fin90, Lot 1 Existing CCGT - Luzon
Source: 10% received in the last year (GAIR 8.8.7; C91 = 1).</t>
      </text>
    </comment>
    <comment ref="R32" authorId="0" shapeId="0">
      <text>
        <t>Salvage value — Fin90, Lot 2 Existing CCGT - Luzon
Source: 10% received in the last year (GAIR 8.8.7; C91 = 1).</t>
      </text>
    </comment>
    <comment ref="S32" authorId="0" shapeId="0">
      <text>
        <t>Salvage value — Fin90, New-Build CCGT - Luzon 1000MW
Source: 10% received in the last year (GAIR 8.8.7; C91 = 1).</t>
      </text>
    </comment>
    <comment ref="T32" authorId="0" shapeId="0">
      <text>
        <t>Salvage value — Fin90, New-Build OCGT - Luzon 1000MW
Source: 10% received in the last year (GAIR 8.8.7; C91 = 1).</t>
      </text>
    </comment>
    <comment ref="U32" authorId="0" shapeId="0">
      <text>
        <t>Salvage value — Fin90, New-Build Gas Engine - Luzon 1000MW
Source: 10% received in the last year (GAIR 8.8.7; C91 = 1).</t>
      </text>
    </comment>
    <comment ref="V32" authorId="0" shapeId="0">
      <text>
        <t>Salvage value — Fin90, New-Build CCGT - Visayas 440MW
Source: 10% received in the last year (GAIR 8.8.7; C91 = 1).</t>
      </text>
    </comment>
    <comment ref="W32" authorId="0" shapeId="0">
      <text>
        <t>Salvage value — Fin90, New-Build OCGT - Visayas 440MW
Source: 10% received in the last year (GAIR 8.8.7; C91 = 1).</t>
      </text>
    </comment>
    <comment ref="X32" authorId="0" shapeId="0">
      <text>
        <t>Salvage value — Fin90, New-Build Gas Engine - Visayas 440MW
Source: 10% received in the last year (GAIR 8.8.7; C91 = 1).</t>
      </text>
    </comment>
    <comment ref="Y32" authorId="0" shapeId="0">
      <text>
        <t>Salvage value — Fin90, New-Build CCGT - Visayas 500MW
Source: 10% received in the last year (GAIR 8.8.7; C91 = 1).</t>
      </text>
    </comment>
    <comment ref="Z32" authorId="0" shapeId="0">
      <text>
        <t>Salvage value — Fin90, New-Build OCGT - Visayas 500MW
Source: 10% received in the last year (GAIR 8.8.7; C91 = 1).</t>
      </text>
    </comment>
    <comment ref="AA32" authorId="0" shapeId="0">
      <text>
        <t>Salvage value — Fin90, New-Build Gas Engine - Visayas 500MW
Source: 10% received in the last year (GAIR 8.8.7; C91 = 1).</t>
      </text>
    </comment>
    <comment ref="F33" authorId="0" shapeId="0">
      <text>
        <t>Major maintenance / refurbishment — Fin42, Lot 1 Existing CCGT - Luzon
Source: naruto / ERC Mid-Merit Financial Model default (ADV model reviewed 9 Oct 2026); unchanged across cases. (Annex A.21).</t>
      </text>
    </comment>
    <comment ref="G33" authorId="0" shapeId="0">
      <text>
        <t>Major maintenance / refurbishment — Fin42, Lot 2 Existing CCGT - Luzon
Source: naruto / ERC Mid-Merit Financial Model default (ADV model reviewed 9 Oct 2026); unchanged across cases. (Annex A.21).</t>
      </text>
    </comment>
    <comment ref="H33" authorId="0" shapeId="0">
      <text>
        <t>Major maintenance / refurbishment — Fin42, New-Build CCGT - Luzon 1000MW
Source: naruto / ERC Mid-Merit Financial Model default (ADV model reviewed 9 Oct 2026); unchanged across cases. (Annex A.21).</t>
      </text>
    </comment>
    <comment ref="I33" authorId="0" shapeId="0">
      <text>
        <t>Major maintenance / refurbishment — Fin42, New-Build OCGT - Luzon 1000MW
Source: naruto / ERC Mid-Merit Financial Model default (ADV model reviewed 9 Oct 2026); unchanged across cases. (Annex A.21).</t>
      </text>
    </comment>
    <comment ref="J33" authorId="0" shapeId="0">
      <text>
        <t>Major maintenance / refurbishment — Fin42, New-Build Gas Engine - Luzon 1000MW
Source: naruto / ERC Mid-Merit Financial Model default (ADV model reviewed 9 Oct 2026); unchanged across cases. (Annex A.21).</t>
      </text>
    </comment>
    <comment ref="K33" authorId="0" shapeId="0">
      <text>
        <t>Major maintenance / refurbishment — Fin42, New-Build CCGT - Visayas 440MW
Source: naruto / ERC Mid-Merit Financial Model default (ADV model reviewed 9 Oct 2026); unchanged across cases. (Annex A.21).</t>
      </text>
    </comment>
    <comment ref="L33" authorId="0" shapeId="0">
      <text>
        <t>Major maintenance / refurbishment — Fin42, New-Build OCGT - Visayas 440MW
Source: naruto / ERC Mid-Merit Financial Model default (ADV model reviewed 9 Oct 2026); unchanged across cases. (Annex A.21).</t>
      </text>
    </comment>
    <comment ref="M33" authorId="0" shapeId="0">
      <text>
        <t>Major maintenance / refurbishment — Fin42, New-Build Gas Engine - Visayas 440MW
Source: naruto / ERC Mid-Merit Financial Model default (ADV model reviewed 9 Oct 2026); unchanged across cases. (Annex A.21).</t>
      </text>
    </comment>
    <comment ref="N33" authorId="0" shapeId="0">
      <text>
        <t>Major maintenance / refurbishment — Fin42, New-Build CCGT - Visayas 500MW
Source: naruto / ERC Mid-Merit Financial Model default (ADV model reviewed 9 Oct 2026); unchanged across cases. (Annex A.21).</t>
      </text>
    </comment>
    <comment ref="O33" authorId="0" shapeId="0">
      <text>
        <t>Major maintenance / refurbishment — Fin42, New-Build OCGT - Visayas 500MW
Source: naruto / ERC Mid-Merit Financial Model default (ADV model reviewed 9 Oct 2026); unchanged across cases. (Annex A.21).</t>
      </text>
    </comment>
    <comment ref="P33" authorId="0" shapeId="0">
      <text>
        <t>Major maintenance / refurbishment — Fin42, New-Build Gas Engine - Visayas 500MW
Source: naruto / ERC Mid-Merit Financial Model default (ADV model reviewed 9 Oct 2026); unchanged across cases. (Annex A.21).</t>
      </text>
    </comment>
    <comment ref="Q33" authorId="0" shapeId="0">
      <text>
        <t>Major maintenance / refurbishment — Fin90, Lot 1 Existing CCGT - Luzon
Source: naruto / ERC Mid-Merit Financial Model default (ADV model reviewed 9 Oct 2026); unchanged across cases. (Annex A.21).</t>
      </text>
    </comment>
    <comment ref="R33" authorId="0" shapeId="0">
      <text>
        <t>Major maintenance / refurbishment — Fin90, Lot 2 Existing CCGT - Luzon
Source: naruto / ERC Mid-Merit Financial Model default (ADV model reviewed 9 Oct 2026); unchanged across cases. (Annex A.21).</t>
      </text>
    </comment>
    <comment ref="S33" authorId="0" shapeId="0">
      <text>
        <t>Major maintenance / refurbishment — Fin90, New-Build CCGT - Luzon 1000MW
Source: naruto / ERC Mid-Merit Financial Model default (ADV model reviewed 9 Oct 2026); unchanged across cases. (Annex A.21).</t>
      </text>
    </comment>
    <comment ref="T33" authorId="0" shapeId="0">
      <text>
        <t>Major maintenance / refurbishment — Fin90, New-Build OCGT - Luzon 1000MW
Source: naruto / ERC Mid-Merit Financial Model default (ADV model reviewed 9 Oct 2026); unchanged across cases. (Annex A.21).</t>
      </text>
    </comment>
    <comment ref="U33" authorId="0" shapeId="0">
      <text>
        <t>Major maintenance / refurbishment — Fin90, New-Build Gas Engine - Luzon 1000MW
Source: naruto / ERC Mid-Merit Financial Model default (ADV model reviewed 9 Oct 2026); unchanged across cases. (Annex A.21).</t>
      </text>
    </comment>
    <comment ref="V33" authorId="0" shapeId="0">
      <text>
        <t>Major maintenance / refurbishment — Fin90, New-Build CCGT - Visayas 440MW
Source: naruto / ERC Mid-Merit Financial Model default (ADV model reviewed 9 Oct 2026); unchanged across cases. (Annex A.21).</t>
      </text>
    </comment>
    <comment ref="W33" authorId="0" shapeId="0">
      <text>
        <t>Major maintenance / refurbishment — Fin90, New-Build OCGT - Visayas 440MW
Source: naruto / ERC Mid-Merit Financial Model default (ADV model reviewed 9 Oct 2026); unchanged across cases. (Annex A.21).</t>
      </text>
    </comment>
    <comment ref="X33" authorId="0" shapeId="0">
      <text>
        <t>Major maintenance / refurbishment — Fin90, New-Build Gas Engine - Visayas 440MW
Source: naruto / ERC Mid-Merit Financial Model default (ADV model reviewed 9 Oct 2026); unchanged across cases. (Annex A.21).</t>
      </text>
    </comment>
    <comment ref="Y33" authorId="0" shapeId="0">
      <text>
        <t>Major maintenance / refurbishment — Fin90, New-Build CCGT - Visayas 500MW
Source: naruto / ERC Mid-Merit Financial Model default (ADV model reviewed 9 Oct 2026); unchanged across cases. (Annex A.21).</t>
      </text>
    </comment>
    <comment ref="Z33" authorId="0" shapeId="0">
      <text>
        <t>Major maintenance / refurbishment — Fin90, New-Build OCGT - Visayas 500MW
Source: naruto / ERC Mid-Merit Financial Model default (ADV model reviewed 9 Oct 2026); unchanged across cases. (Annex A.21).</t>
      </text>
    </comment>
    <comment ref="AA33" authorId="0" shapeId="0">
      <text>
        <t>Major maintenance / refurbishment — Fin90, New-Build Gas Engine - Visayas 500MW
Source: naruto / ERC Mid-Merit Financial Model default (ADV model reviewed 9 Oct 2026); unchanged across cases. (Annex A.21).</t>
      </text>
    </comment>
    <comment ref="F34" authorId="0" shapeId="0">
      <text>
        <t>Timing of refurbishment — Fin42, Lot 1 Existing CCGT - Luzon
Source: naruto / ERC Mid-Merit Financial Model default (ADV model reviewed 9 Oct 2026); unchanged across cases. (Annex A.21).</t>
      </text>
    </comment>
    <comment ref="G34" authorId="0" shapeId="0">
      <text>
        <t>Timing of refurbishment — Fin42, Lot 2 Existing CCGT - Luzon
Source: naruto / ERC Mid-Merit Financial Model default (ADV model reviewed 9 Oct 2026); unchanged across cases. (Annex A.21).</t>
      </text>
    </comment>
    <comment ref="H34" authorId="0" shapeId="0">
      <text>
        <t>Timing of refurbishment — Fin42, New-Build CCGT - Luzon 1000MW
Source: naruto / ERC Mid-Merit Financial Model default (ADV model reviewed 9 Oct 2026); unchanged across cases. (Annex A.21).</t>
      </text>
    </comment>
    <comment ref="I34" authorId="0" shapeId="0">
      <text>
        <t>Timing of refurbishment — Fin42, New-Build OCGT - Luzon 1000MW
Source: naruto / ERC Mid-Merit Financial Model default (ADV model reviewed 9 Oct 2026); unchanged across cases. (Annex A.21).</t>
      </text>
    </comment>
    <comment ref="J34" authorId="0" shapeId="0">
      <text>
        <t>Timing of refurbishment — Fin42, New-Build Gas Engine - Luzon 1000MW
Source: naruto / ERC Mid-Merit Financial Model default (ADV model reviewed 9 Oct 2026); unchanged across cases. (Annex A.21).</t>
      </text>
    </comment>
    <comment ref="K34" authorId="0" shapeId="0">
      <text>
        <t>Timing of refurbishment — Fin42, New-Build CCGT - Visayas 440MW
Source: naruto / ERC Mid-Merit Financial Model default (ADV model reviewed 9 Oct 2026); unchanged across cases. (Annex A.21).</t>
      </text>
    </comment>
    <comment ref="L34" authorId="0" shapeId="0">
      <text>
        <t>Timing of refurbishment — Fin42, New-Build OCGT - Visayas 440MW
Source: naruto / ERC Mid-Merit Financial Model default (ADV model reviewed 9 Oct 2026); unchanged across cases. (Annex A.21).</t>
      </text>
    </comment>
    <comment ref="M34" authorId="0" shapeId="0">
      <text>
        <t>Timing of refurbishment — Fin42, New-Build Gas Engine - Visayas 440MW
Source: naruto / ERC Mid-Merit Financial Model default (ADV model reviewed 9 Oct 2026); unchanged across cases. (Annex A.21).</t>
      </text>
    </comment>
    <comment ref="N34" authorId="0" shapeId="0">
      <text>
        <t>Timing of refurbishment — Fin42, New-Build CCGT - Visayas 500MW
Source: naruto / ERC Mid-Merit Financial Model default (ADV model reviewed 9 Oct 2026); unchanged across cases. (Annex A.21).</t>
      </text>
    </comment>
    <comment ref="O34" authorId="0" shapeId="0">
      <text>
        <t>Timing of refurbishment — Fin42, New-Build OCGT - Visayas 500MW
Source: naruto / ERC Mid-Merit Financial Model default (ADV model reviewed 9 Oct 2026); unchanged across cases. (Annex A.21).</t>
      </text>
    </comment>
    <comment ref="P34" authorId="0" shapeId="0">
      <text>
        <t>Timing of refurbishment — Fin42, New-Build Gas Engine - Visayas 500MW
Source: naruto / ERC Mid-Merit Financial Model default (ADV model reviewed 9 Oct 2026); unchanged across cases. (Annex A.21).</t>
      </text>
    </comment>
    <comment ref="Q34" authorId="0" shapeId="0">
      <text>
        <t>Timing of refurbishment — Fin90, Lot 1 Existing CCGT - Luzon
Source: naruto / ERC Mid-Merit Financial Model default (ADV model reviewed 9 Oct 2026); unchanged across cases. (Annex A.21).</t>
      </text>
    </comment>
    <comment ref="R34" authorId="0" shapeId="0">
      <text>
        <t>Timing of refurbishment — Fin90, Lot 2 Existing CCGT - Luzon
Source: naruto / ERC Mid-Merit Financial Model default (ADV model reviewed 9 Oct 2026); unchanged across cases. (Annex A.21).</t>
      </text>
    </comment>
    <comment ref="S34" authorId="0" shapeId="0">
      <text>
        <t>Timing of refurbishment — Fin90, New-Build CCGT - Luzon 1000MW
Source: naruto / ERC Mid-Merit Financial Model default (ADV model reviewed 9 Oct 2026); unchanged across cases. (Annex A.21).</t>
      </text>
    </comment>
    <comment ref="T34" authorId="0" shapeId="0">
      <text>
        <t>Timing of refurbishment — Fin90, New-Build OCGT - Luzon 1000MW
Source: naruto / ERC Mid-Merit Financial Model default (ADV model reviewed 9 Oct 2026); unchanged across cases. (Annex A.21).</t>
      </text>
    </comment>
    <comment ref="U34" authorId="0" shapeId="0">
      <text>
        <t>Timing of refurbishment — Fin90, New-Build Gas Engine - Luzon 1000MW
Source: naruto / ERC Mid-Merit Financial Model default (ADV model reviewed 9 Oct 2026); unchanged across cases. (Annex A.21).</t>
      </text>
    </comment>
    <comment ref="V34" authorId="0" shapeId="0">
      <text>
        <t>Timing of refurbishment — Fin90, New-Build CCGT - Visayas 440MW
Source: naruto / ERC Mid-Merit Financial Model default (ADV model reviewed 9 Oct 2026); unchanged across cases. (Annex A.21).</t>
      </text>
    </comment>
    <comment ref="W34" authorId="0" shapeId="0">
      <text>
        <t>Timing of refurbishment — Fin90, New-Build OCGT - Visayas 440MW
Source: naruto / ERC Mid-Merit Financial Model default (ADV model reviewed 9 Oct 2026); unchanged across cases. (Annex A.21).</t>
      </text>
    </comment>
    <comment ref="X34" authorId="0" shapeId="0">
      <text>
        <t>Timing of refurbishment — Fin90, New-Build Gas Engine - Visayas 440MW
Source: naruto / ERC Mid-Merit Financial Model default (ADV model reviewed 9 Oct 2026); unchanged across cases. (Annex A.21).</t>
      </text>
    </comment>
    <comment ref="Y34" authorId="0" shapeId="0">
      <text>
        <t>Timing of refurbishment — Fin90, New-Build CCGT - Visayas 500MW
Source: naruto / ERC Mid-Merit Financial Model default (ADV model reviewed 9 Oct 2026); unchanged across cases. (Annex A.21).</t>
      </text>
    </comment>
    <comment ref="Z34" authorId="0" shapeId="0">
      <text>
        <t>Timing of refurbishment — Fin90, New-Build OCGT - Visayas 500MW
Source: naruto / ERC Mid-Merit Financial Model default (ADV model reviewed 9 Oct 2026); unchanged across cases. (Annex A.21).</t>
      </text>
    </comment>
    <comment ref="AA34" authorId="0" shapeId="0">
      <text>
        <t>Timing of refurbishment — Fin90, New-Build Gas Engine - Visayas 500MW
Source: naruto / ERC Mid-Merit Financial Model default (ADV model reviewed 9 Oct 2026); unchanged across cases. (Annex A.21).</t>
      </text>
    </comment>
    <comment ref="F36" authorId="0" shapeId="0">
      <text>
        <t>Fixed O&amp;M — Fin42, Lot 1 Existing CCGT - Luzon
Source: US$13.71/kW-yr: LTSA-based fixed O&amp;M (draft Resolution 2). Cross-check, First Gen historical: Santa Rita/San Lorenzo 1996 PPA fixed O&amp;M re-based to May 2026 = US$0.00826/kWh + PhP 0.058/kWh (mid_merit_gas_rates.xlsx, O&amp;M Rebasing tab). Lazard v19 CCGT fixed O&amp;M US$10.00–25.50/kW-yr.</t>
      </text>
    </comment>
    <comment ref="G36" authorId="0" shapeId="0">
      <text>
        <t>Fixed O&amp;M — Fin42, Lot 2 Existing CCGT - Luzon
Source: US$13.71/kW-yr: LTSA-based fixed O&amp;M (draft Resolution 2). Cross-check, First Gen historical: Santa Rita/San Lorenzo 1996 PPA fixed O&amp;M re-based to May 2026 = US$0.00826/kWh + PhP 0.058/kWh (mid_merit_gas_rates.xlsx, O&amp;M Rebasing tab). Lazard v19 CCGT fixed O&amp;M US$10.00–25.50/kW-yr.</t>
      </text>
    </comment>
    <comment ref="H36" authorId="0" shapeId="0">
      <text>
        <t>Fixed O&amp;M — Fin42, New-Build CCGT - Luzon 1000MW
Source: US$13.71/kW-yr: LTSA-based fixed O&amp;M (draft Resolution 2). Lazard v19 CCGT range US$10.00–25.50/kW-yr.</t>
      </text>
    </comment>
    <comment ref="I36" authorId="0" shapeId="0">
      <text>
        <t>Fixed O&amp;M — Fin42, New-Build OCGT - Luzon 1000MW
Source: US$8.50/kW-yr: draft Resolution 2 (OCGT LTSA).</t>
      </text>
    </comment>
    <comment ref="J36" authorId="0" shapeId="0">
      <text>
        <t>Fixed O&amp;M — Fin42, New-Build Gas Engine - Luzon 1000MW
Source: US$16.50/kW-yr: draft Resolution 2 (gas-engine LTSA).</t>
      </text>
    </comment>
    <comment ref="K36" authorId="0" shapeId="0">
      <text>
        <t>Fixed O&amp;M — Fin42, New-Build CCGT - Visayas 440MW
Source: US$13.71/kW-yr: LTSA-based fixed O&amp;M (draft Resolution 2). Lazard v19 CCGT range US$10.00–25.50/kW-yr.</t>
      </text>
    </comment>
    <comment ref="L36" authorId="0" shapeId="0">
      <text>
        <t>Fixed O&amp;M — Fin42, New-Build OCGT - Visayas 440MW
Source: US$8.50/kW-yr: draft Resolution 2 (OCGT LTSA).</t>
      </text>
    </comment>
    <comment ref="M36" authorId="0" shapeId="0">
      <text>
        <t>Fixed O&amp;M — Fin42, New-Build Gas Engine - Visayas 440MW
Source: US$16.50/kW-yr: draft Resolution 2 (gas-engine LTSA).</t>
      </text>
    </comment>
    <comment ref="N36" authorId="0" shapeId="0">
      <text>
        <t>Fixed O&amp;M — Fin42, New-Build CCGT - Visayas 500MW
Source: US$13.71/kW-yr: LTSA-based fixed O&amp;M (draft Resolution 2). Lazard v19 CCGT range US$10.00–25.50/kW-yr.</t>
      </text>
    </comment>
    <comment ref="O36" authorId="0" shapeId="0">
      <text>
        <t>Fixed O&amp;M — Fin42, New-Build OCGT - Visayas 500MW
Source: US$8.50/kW-yr: draft Resolution 2 (OCGT LTSA).</t>
      </text>
    </comment>
    <comment ref="P36" authorId="0" shapeId="0">
      <text>
        <t>Fixed O&amp;M — Fin42, New-Build Gas Engine - Visayas 500MW
Source: US$16.50/kW-yr: draft Resolution 2 (gas-engine LTSA).</t>
      </text>
    </comment>
    <comment ref="Q36" authorId="0" shapeId="0">
      <text>
        <t>Fixed O&amp;M — Fin90, Lot 1 Existing CCGT - Luzon
Source: US$13.71/kW-yr: LTSA-based fixed O&amp;M (draft Resolution 2). Cross-check, First Gen historical: Santa Rita/San Lorenzo 1996 PPA fixed O&amp;M re-based to May 2026 = US$0.00826/kWh + PhP 0.058/kWh (mid_merit_gas_rates.xlsx, O&amp;M Rebasing tab). Lazard v19 CCGT fixed O&amp;M US$10.00–25.50/kW-yr.</t>
      </text>
    </comment>
    <comment ref="R36" authorId="0" shapeId="0">
      <text>
        <t>Fixed O&amp;M — Fin90, Lot 2 Existing CCGT - Luzon
Source: US$13.71/kW-yr: LTSA-based fixed O&amp;M (draft Resolution 2). Cross-check, First Gen historical: Santa Rita/San Lorenzo 1996 PPA fixed O&amp;M re-based to May 2026 = US$0.00826/kWh + PhP 0.058/kWh (mid_merit_gas_rates.xlsx, O&amp;M Rebasing tab). Lazard v19 CCGT fixed O&amp;M US$10.00–25.50/kW-yr.</t>
      </text>
    </comment>
    <comment ref="S36" authorId="0" shapeId="0">
      <text>
        <t>Fixed O&amp;M — Fin90, New-Build CCGT - Luzon 1000MW
Source: US$13.71/kW-yr: LTSA-based fixed O&amp;M (draft Resolution 2). Lazard v19 CCGT range US$10.00–25.50/kW-yr.</t>
      </text>
    </comment>
    <comment ref="T36" authorId="0" shapeId="0">
      <text>
        <t>Fixed O&amp;M — Fin90, New-Build OCGT - Luzon 1000MW
Source: US$8.50/kW-yr: draft Resolution 2 (OCGT LTSA).</t>
      </text>
    </comment>
    <comment ref="U36" authorId="0" shapeId="0">
      <text>
        <t>Fixed O&amp;M — Fin90, New-Build Gas Engine - Luzon 1000MW
Source: US$16.50/kW-yr: draft Resolution 2 (gas-engine LTSA).</t>
      </text>
    </comment>
    <comment ref="V36" authorId="0" shapeId="0">
      <text>
        <t>Fixed O&amp;M — Fin90, New-Build CCGT - Visayas 440MW
Source: US$13.71/kW-yr: LTSA-based fixed O&amp;M (draft Resolution 2). Lazard v19 CCGT range US$10.00–25.50/kW-yr.</t>
      </text>
    </comment>
    <comment ref="W36" authorId="0" shapeId="0">
      <text>
        <t>Fixed O&amp;M — Fin90, New-Build OCGT - Visayas 440MW
Source: US$8.50/kW-yr: draft Resolution 2 (OCGT LTSA).</t>
      </text>
    </comment>
    <comment ref="X36" authorId="0" shapeId="0">
      <text>
        <t>Fixed O&amp;M — Fin90, New-Build Gas Engine - Visayas 440MW
Source: US$16.50/kW-yr: draft Resolution 2 (gas-engine LTSA).</t>
      </text>
    </comment>
    <comment ref="Y36" authorId="0" shapeId="0">
      <text>
        <t>Fixed O&amp;M — Fin90, New-Build CCGT - Visayas 500MW
Source: US$13.71/kW-yr: LTSA-based fixed O&amp;M (draft Resolution 2). Lazard v19 CCGT range US$10.00–25.50/kW-yr.</t>
      </text>
    </comment>
    <comment ref="Z36" authorId="0" shapeId="0">
      <text>
        <t>Fixed O&amp;M — Fin90, New-Build OCGT - Visayas 500MW
Source: US$8.50/kW-yr: draft Resolution 2 (OCGT LTSA).</t>
      </text>
    </comment>
    <comment ref="AA36" authorId="0" shapeId="0">
      <text>
        <t>Fixed O&amp;M — Fin90, New-Build Gas Engine - Visayas 500MW
Source: US$16.50/kW-yr: draft Resolution 2 (gas-engine LTSA).</t>
      </text>
    </comment>
    <comment ref="F37" authorId="0" shapeId="0">
      <text>
        <t>Fixed O&amp;M (model input) — Fin42, Lot 1 Existing CCGT - Luzon
Source: US$/kW-yr x unit MW.</t>
      </text>
    </comment>
    <comment ref="G37" authorId="0" shapeId="0">
      <text>
        <t>Fixed O&amp;M (model input) — Fin42, Lot 2 Existing CCGT - Luzon
Source: US$/kW-yr x unit MW.</t>
      </text>
    </comment>
    <comment ref="H37" authorId="0" shapeId="0">
      <text>
        <t>Fixed O&amp;M (model input) — Fin42, New-Build CCGT - Luzon 1000MW
Source: US$/kW-yr x unit MW.</t>
      </text>
    </comment>
    <comment ref="I37" authorId="0" shapeId="0">
      <text>
        <t>Fixed O&amp;M (model input) — Fin42, New-Build OCGT - Luzon 1000MW
Source: US$/kW-yr x unit MW.</t>
      </text>
    </comment>
    <comment ref="J37" authorId="0" shapeId="0">
      <text>
        <t>Fixed O&amp;M (model input) — Fin42, New-Build Gas Engine - Luzon 1000MW
Source: US$/kW-yr x unit MW.</t>
      </text>
    </comment>
    <comment ref="K37" authorId="0" shapeId="0">
      <text>
        <t>Fixed O&amp;M (model input) — Fin42, New-Build CCGT - Visayas 440MW
Source: US$/kW-yr x unit MW.</t>
      </text>
    </comment>
    <comment ref="L37" authorId="0" shapeId="0">
      <text>
        <t>Fixed O&amp;M (model input) — Fin42, New-Build OCGT - Visayas 440MW
Source: US$/kW-yr x unit MW.</t>
      </text>
    </comment>
    <comment ref="M37" authorId="0" shapeId="0">
      <text>
        <t>Fixed O&amp;M (model input) — Fin42, New-Build Gas Engine - Visayas 440MW
Source: US$/kW-yr x unit MW.</t>
      </text>
    </comment>
    <comment ref="N37" authorId="0" shapeId="0">
      <text>
        <t>Fixed O&amp;M (model input) — Fin42, New-Build CCGT - Visayas 500MW
Source: US$/kW-yr x unit MW.</t>
      </text>
    </comment>
    <comment ref="O37" authorId="0" shapeId="0">
      <text>
        <t>Fixed O&amp;M (model input) — Fin42, New-Build OCGT - Visayas 500MW
Source: US$/kW-yr x unit MW.</t>
      </text>
    </comment>
    <comment ref="P37" authorId="0" shapeId="0">
      <text>
        <t>Fixed O&amp;M (model input) — Fin42, New-Build Gas Engine - Visayas 500MW
Source: US$/kW-yr x unit MW.</t>
      </text>
    </comment>
    <comment ref="Q37" authorId="0" shapeId="0">
      <text>
        <t>Fixed O&amp;M (model input) — Fin90, Lot 1 Existing CCGT - Luzon
Source: US$/kW-yr x unit MW.</t>
      </text>
    </comment>
    <comment ref="R37" authorId="0" shapeId="0">
      <text>
        <t>Fixed O&amp;M (model input) — Fin90, Lot 2 Existing CCGT - Luzon
Source: US$/kW-yr x unit MW.</t>
      </text>
    </comment>
    <comment ref="S37" authorId="0" shapeId="0">
      <text>
        <t>Fixed O&amp;M (model input) — Fin90, New-Build CCGT - Luzon 1000MW
Source: US$/kW-yr x unit MW.</t>
      </text>
    </comment>
    <comment ref="T37" authorId="0" shapeId="0">
      <text>
        <t>Fixed O&amp;M (model input) — Fin90, New-Build OCGT - Luzon 1000MW
Source: US$/kW-yr x unit MW.</t>
      </text>
    </comment>
    <comment ref="U37" authorId="0" shapeId="0">
      <text>
        <t>Fixed O&amp;M (model input) — Fin90, New-Build Gas Engine - Luzon 1000MW
Source: US$/kW-yr x unit MW.</t>
      </text>
    </comment>
    <comment ref="V37" authorId="0" shapeId="0">
      <text>
        <t>Fixed O&amp;M (model input) — Fin90, New-Build CCGT - Visayas 440MW
Source: US$/kW-yr x unit MW.</t>
      </text>
    </comment>
    <comment ref="W37" authorId="0" shapeId="0">
      <text>
        <t>Fixed O&amp;M (model input) — Fin90, New-Build OCGT - Visayas 440MW
Source: US$/kW-yr x unit MW.</t>
      </text>
    </comment>
    <comment ref="X37" authorId="0" shapeId="0">
      <text>
        <t>Fixed O&amp;M (model input) — Fin90, New-Build Gas Engine - Visayas 440MW
Source: US$/kW-yr x unit MW.</t>
      </text>
    </comment>
    <comment ref="Y37" authorId="0" shapeId="0">
      <text>
        <t>Fixed O&amp;M (model input) — Fin90, New-Build CCGT - Visayas 500MW
Source: US$/kW-yr x unit MW.</t>
      </text>
    </comment>
    <comment ref="Z37" authorId="0" shapeId="0">
      <text>
        <t>Fixed O&amp;M (model input) — Fin90, New-Build OCGT - Visayas 500MW
Source: US$/kW-yr x unit MW.</t>
      </text>
    </comment>
    <comment ref="AA37" authorId="0" shapeId="0">
      <text>
        <t>Fixed O&amp;M (model input) — Fin90, New-Build Gas Engine - Visayas 500MW
Source: US$/kW-yr x unit MW.</t>
      </text>
    </comment>
    <comment ref="F38" authorId="0" shapeId="0">
      <text>
        <t>Variable non-fuel O&amp;M — Fin42, Lot 1 Existing CCGT - Luzon
Source: US$2.00/MWh consumables, water, lube oil (draft Resolution 2). First Gen historical: 1996 PPA variable O&amp;M re-based to May 2026 = US$0.00304/kWh + PhP 0.025/kWh (O&amp;M Rebasing tab). Lazard v19: US$2.75–5.00/MWh.</t>
      </text>
    </comment>
    <comment ref="G38" authorId="0" shapeId="0">
      <text>
        <t>Variable non-fuel O&amp;M — Fin42, Lot 2 Existing CCGT - Luzon
Source: US$2.00/MWh consumables, water, lube oil (draft Resolution 2). First Gen historical: 1996 PPA variable O&amp;M re-based to May 2026 = US$0.00304/kWh + PhP 0.025/kWh (O&amp;M Rebasing tab). Lazard v19: US$2.75–5.00/MWh.</t>
      </text>
    </comment>
    <comment ref="H38" authorId="0" shapeId="0">
      <text>
        <t>Variable non-fuel O&amp;M — Fin42, New-Build CCGT - Luzon 1000MW
Source: US$2.00/MWh (draft Resolution 2). Lazard v19 CCGT: US$2.75–5.00/MWh.</t>
      </text>
    </comment>
    <comment ref="I38" authorId="0" shapeId="0">
      <text>
        <t>Variable non-fuel O&amp;M — Fin42, New-Build OCGT - Luzon 1000MW
Source: US$4.50/MWh (draft Resolution 2).</t>
      </text>
    </comment>
    <comment ref="J38" authorId="0" shapeId="0">
      <text>
        <t>Variable non-fuel O&amp;M — Fin42, New-Build Gas Engine - Luzon 1000MW
Source: US$3.80/MWh (draft Resolution 2).</t>
      </text>
    </comment>
    <comment ref="K38" authorId="0" shapeId="0">
      <text>
        <t>Variable non-fuel O&amp;M — Fin42, New-Build CCGT - Visayas 440MW
Source: US$2.00/MWh (draft Resolution 2). Lazard v19 CCGT: US$2.75–5.00/MWh.</t>
      </text>
    </comment>
    <comment ref="L38" authorId="0" shapeId="0">
      <text>
        <t>Variable non-fuel O&amp;M — Fin42, New-Build OCGT - Visayas 440MW
Source: US$4.50/MWh (draft Resolution 2).</t>
      </text>
    </comment>
    <comment ref="M38" authorId="0" shapeId="0">
      <text>
        <t>Variable non-fuel O&amp;M — Fin42, New-Build Gas Engine - Visayas 440MW
Source: US$3.80/MWh (draft Resolution 2).</t>
      </text>
    </comment>
    <comment ref="N38" authorId="0" shapeId="0">
      <text>
        <t>Variable non-fuel O&amp;M — Fin42, New-Build CCGT - Visayas 500MW
Source: US$2.00/MWh (draft Resolution 2). Lazard v19 CCGT: US$2.75–5.00/MWh.</t>
      </text>
    </comment>
    <comment ref="O38" authorId="0" shapeId="0">
      <text>
        <t>Variable non-fuel O&amp;M — Fin42, New-Build OCGT - Visayas 500MW
Source: US$4.50/MWh (draft Resolution 2).</t>
      </text>
    </comment>
    <comment ref="P38" authorId="0" shapeId="0">
      <text>
        <t>Variable non-fuel O&amp;M — Fin42, New-Build Gas Engine - Visayas 500MW
Source: US$3.80/MWh (draft Resolution 2).</t>
      </text>
    </comment>
    <comment ref="Q38" authorId="0" shapeId="0">
      <text>
        <t>Variable non-fuel O&amp;M — Fin90, Lot 1 Existing CCGT - Luzon
Source: US$2.00/MWh consumables, water, lube oil (draft Resolution 2). First Gen historical: 1996 PPA variable O&amp;M re-based to May 2026 = US$0.00304/kWh + PhP 0.025/kWh (O&amp;M Rebasing tab). Lazard v19: US$2.75–5.00/MWh.</t>
      </text>
    </comment>
    <comment ref="R38" authorId="0" shapeId="0">
      <text>
        <t>Variable non-fuel O&amp;M — Fin90, Lot 2 Existing CCGT - Luzon
Source: US$2.00/MWh consumables, water, lube oil (draft Resolution 2). First Gen historical: 1996 PPA variable O&amp;M re-based to May 2026 = US$0.00304/kWh + PhP 0.025/kWh (O&amp;M Rebasing tab). Lazard v19: US$2.75–5.00/MWh.</t>
      </text>
    </comment>
    <comment ref="S38" authorId="0" shapeId="0">
      <text>
        <t>Variable non-fuel O&amp;M — Fin90, New-Build CCGT - Luzon 1000MW
Source: US$2.00/MWh (draft Resolution 2). Lazard v19 CCGT: US$2.75–5.00/MWh.</t>
      </text>
    </comment>
    <comment ref="T38" authorId="0" shapeId="0">
      <text>
        <t>Variable non-fuel O&amp;M — Fin90, New-Build OCGT - Luzon 1000MW
Source: US$4.50/MWh (draft Resolution 2).</t>
      </text>
    </comment>
    <comment ref="U38" authorId="0" shapeId="0">
      <text>
        <t>Variable non-fuel O&amp;M — Fin90, New-Build Gas Engine - Luzon 1000MW
Source: US$3.80/MWh (draft Resolution 2).</t>
      </text>
    </comment>
    <comment ref="V38" authorId="0" shapeId="0">
      <text>
        <t>Variable non-fuel O&amp;M — Fin90, New-Build CCGT - Visayas 440MW
Source: US$2.00/MWh (draft Resolution 2). Lazard v19 CCGT: US$2.75–5.00/MWh.</t>
      </text>
    </comment>
    <comment ref="W38" authorId="0" shapeId="0">
      <text>
        <t>Variable non-fuel O&amp;M — Fin90, New-Build OCGT - Visayas 440MW
Source: US$4.50/MWh (draft Resolution 2).</t>
      </text>
    </comment>
    <comment ref="X38" authorId="0" shapeId="0">
      <text>
        <t>Variable non-fuel O&amp;M — Fin90, New-Build Gas Engine - Visayas 440MW
Source: US$3.80/MWh (draft Resolution 2).</t>
      </text>
    </comment>
    <comment ref="Y38" authorId="0" shapeId="0">
      <text>
        <t>Variable non-fuel O&amp;M — Fin90, New-Build CCGT - Visayas 500MW
Source: US$2.00/MWh (draft Resolution 2). Lazard v19 CCGT: US$2.75–5.00/MWh.</t>
      </text>
    </comment>
    <comment ref="Z38" authorId="0" shapeId="0">
      <text>
        <t>Variable non-fuel O&amp;M — Fin90, New-Build OCGT - Visayas 500MW
Source: US$4.50/MWh (draft Resolution 2).</t>
      </text>
    </comment>
    <comment ref="AA38" authorId="0" shapeId="0">
      <text>
        <t>Variable non-fuel O&amp;M — Fin90, New-Build Gas Engine - Visayas 500MW
Source: US$3.80/MWh (draft Resolution 2).</t>
      </text>
    </comment>
    <comment ref="F39" authorId="0" shapeId="0">
      <text>
        <t>Logistics cap (CLLC) — Fin42, Lot 1 Existing CCGT - Luzon
Source: Luzon US$1.90/MMBtu = regasification cap 1.50 + pipeline 0.40 (draft Resolution 2 caps). Boil-off allowance removed per working Rules Sec. 17 (19 Oct 2026). Actual billed regas for Santa Rita/EERI was about US$2.93/MMBtu (cheat sheet).</t>
      </text>
    </comment>
    <comment ref="G39" authorId="0" shapeId="0">
      <text>
        <t>Logistics cap (CLLC) — Fin42, Lot 2 Existing CCGT - Luzon
Source: Luzon US$1.90/MMBtu = regasification cap 1.50 + pipeline 0.40 (draft Resolution 2 caps). Boil-off allowance removed per working Rules Sec. 17 (19 Oct 2026). Actual billed regas for Santa Rita/EERI was about US$2.93/MMBtu (cheat sheet).</t>
      </text>
    </comment>
    <comment ref="H39" authorId="0" shapeId="0">
      <text>
        <t>Logistics cap (CLLC) — Fin42, New-Build CCGT - Luzon 1000MW
Source: Luzon US$1.90/MMBtu = regasification cap 1.50 + pipeline 0.40 (draft Resolution 2 caps). Boil-off allowance removed per working Rules Sec. 17 (19 Oct 2026). Actual billed regas for Santa Rita/EERI was about US$2.93/MMBtu (cheat sheet).</t>
      </text>
    </comment>
    <comment ref="I39" authorId="0" shapeId="0">
      <text>
        <t>Logistics cap (CLLC) — Fin42, New-Build OCGT - Luzon 1000MW
Source: Luzon US$1.90/MMBtu = regasification cap 1.50 + pipeline 0.40 (draft Resolution 2 caps). Boil-off allowance removed per working Rules Sec. 17 (19 Oct 2026). Actual billed regas for Santa Rita/EERI was about US$2.93/MMBtu (cheat sheet).</t>
      </text>
    </comment>
    <comment ref="J39" authorId="0" shapeId="0">
      <text>
        <t>Logistics cap (CLLC) — Fin42, New-Build Gas Engine - Luzon 1000MW
Source: Luzon US$1.90/MMBtu = regasification cap 1.50 + pipeline 0.40 (draft Resolution 2 caps). Boil-off allowance removed per working Rules Sec. 17 (19 Oct 2026). Actual billed regas for Santa Rita/EERI was about US$2.93/MMBtu (cheat sheet).</t>
      </text>
    </comment>
    <comment ref="K39" authorId="0" shapeId="0">
      <text>
        <t>Logistics cap (CLLC) — Fin42, New-Build CCGT - Visayas 440MW
Source: Visayas US$3.15/MMBtu = Luzon 1.90 + marine/small-scale LNG 0.95 + storage 0.30 (draft Resolution 2 caps). Boil-off allowance removed per working Rules Sec. 17 (19 Oct 2026). Actual billed regas for Santa Rita/EERI was about US$2.93/MMBtu (cheat sheet).</t>
      </text>
    </comment>
    <comment ref="L39" authorId="0" shapeId="0">
      <text>
        <t>Logistics cap (CLLC) — Fin42, New-Build OCGT - Visayas 440MW
Source: Visayas US$3.15/MMBtu = Luzon 1.90 + marine/small-scale LNG 0.95 + storage 0.30 (draft Resolution 2 caps). Boil-off allowance removed per working Rules Sec. 17 (19 Oct 2026). Actual billed regas for Santa Rita/EERI was about US$2.93/MMBtu (cheat sheet).</t>
      </text>
    </comment>
    <comment ref="M39" authorId="0" shapeId="0">
      <text>
        <t>Logistics cap (CLLC) — Fin42, New-Build Gas Engine - Visayas 440MW
Source: Visayas US$3.15/MMBtu = Luzon 1.90 + marine/small-scale LNG 0.95 + storage 0.30 (draft Resolution 2 caps). Boil-off allowance removed per working Rules Sec. 17 (19 Oct 2026). Actual billed regas for Santa Rita/EERI was about US$2.93/MMBtu (cheat sheet).</t>
      </text>
    </comment>
    <comment ref="N39" authorId="0" shapeId="0">
      <text>
        <t>Logistics cap (CLLC) — Fin42, New-Build CCGT - Visayas 500MW
Source: Visayas US$3.15/MMBtu = Luzon 1.90 + marine/small-scale LNG 0.95 + storage 0.30 (draft Resolution 2 caps). Boil-off allowance removed per working Rules Sec. 17 (19 Oct 2026). Actual billed regas for Santa Rita/EERI was about US$2.93/MMBtu (cheat sheet).</t>
      </text>
    </comment>
    <comment ref="O39" authorId="0" shapeId="0">
      <text>
        <t>Logistics cap (CLLC) — Fin42, New-Build OCGT - Visayas 500MW
Source: Visayas US$3.15/MMBtu = Luzon 1.90 + marine/small-scale LNG 0.95 + storage 0.30 (draft Resolution 2 caps). Boil-off allowance removed per working Rules Sec. 17 (19 Oct 2026). Actual billed regas for Santa Rita/EERI was about US$2.93/MMBtu (cheat sheet).</t>
      </text>
    </comment>
    <comment ref="P39" authorId="0" shapeId="0">
      <text>
        <t>Logistics cap (CLLC) — Fin42, New-Build Gas Engine - Visayas 500MW
Source: Visayas US$3.15/MMBtu = Luzon 1.90 + marine/small-scale LNG 0.95 + storage 0.30 (draft Resolution 2 caps). Boil-off allowance removed per working Rules Sec. 17 (19 Oct 2026). Actual billed regas for Santa Rita/EERI was about US$2.93/MMBtu (cheat sheet).</t>
      </text>
    </comment>
    <comment ref="Q39" authorId="0" shapeId="0">
      <text>
        <t>Logistics cap (CLLC) — Fin90, Lot 1 Existing CCGT - Luzon
Source: Luzon US$1.90/MMBtu = regasification cap 1.50 + pipeline 0.40 (draft Resolution 2 caps). Boil-off allowance removed per working Rules Sec. 17 (19 Oct 2026). Actual billed regas for Santa Rita/EERI was about US$2.93/MMBtu (cheat sheet).</t>
      </text>
    </comment>
    <comment ref="R39" authorId="0" shapeId="0">
      <text>
        <t>Logistics cap (CLLC) — Fin90, Lot 2 Existing CCGT - Luzon
Source: Luzon US$1.90/MMBtu = regasification cap 1.50 + pipeline 0.40 (draft Resolution 2 caps). Boil-off allowance removed per working Rules Sec. 17 (19 Oct 2026). Actual billed regas for Santa Rita/EERI was about US$2.93/MMBtu (cheat sheet).</t>
      </text>
    </comment>
    <comment ref="S39" authorId="0" shapeId="0">
      <text>
        <t>Logistics cap (CLLC) — Fin90, New-Build CCGT - Luzon 1000MW
Source: Luzon US$1.90/MMBtu = regasification cap 1.50 + pipeline 0.40 (draft Resolution 2 caps). Boil-off allowance removed per working Rules Sec. 17 (19 Oct 2026). Actual billed regas for Santa Rita/EERI was about US$2.93/MMBtu (cheat sheet).</t>
      </text>
    </comment>
    <comment ref="T39" authorId="0" shapeId="0">
      <text>
        <t>Logistics cap (CLLC) — Fin90, New-Build OCGT - Luzon 1000MW
Source: Luzon US$1.90/MMBtu = regasification cap 1.50 + pipeline 0.40 (draft Resolution 2 caps). Boil-off allowance removed per working Rules Sec. 17 (19 Oct 2026). Actual billed regas for Santa Rita/EERI was about US$2.93/MMBtu (cheat sheet).</t>
      </text>
    </comment>
    <comment ref="U39" authorId="0" shapeId="0">
      <text>
        <t>Logistics cap (CLLC) — Fin90, New-Build Gas Engine - Luzon 1000MW
Source: Luzon US$1.90/MMBtu = regasification cap 1.50 + pipeline 0.40 (draft Resolution 2 caps). Boil-off allowance removed per working Rules Sec. 17 (19 Oct 2026). Actual billed regas for Santa Rita/EERI was about US$2.93/MMBtu (cheat sheet).</t>
      </text>
    </comment>
    <comment ref="V39" authorId="0" shapeId="0">
      <text>
        <t>Logistics cap (CLLC) — Fin90, New-Build CCGT - Visayas 440MW
Source: Visayas US$3.15/MMBtu = Luzon 1.90 + marine/small-scale LNG 0.95 + storage 0.30 (draft Resolution 2 caps). Boil-off allowance removed per working Rules Sec. 17 (19 Oct 2026). Actual billed regas for Santa Rita/EERI was about US$2.93/MMBtu (cheat sheet).</t>
      </text>
    </comment>
    <comment ref="W39" authorId="0" shapeId="0">
      <text>
        <t>Logistics cap (CLLC) — Fin90, New-Build OCGT - Visayas 440MW
Source: Visayas US$3.15/MMBtu = Luzon 1.90 + marine/small-scale LNG 0.95 + storage 0.30 (draft Resolution 2 caps). Boil-off allowance removed per working Rules Sec. 17 (19 Oct 2026). Actual billed regas for Santa Rita/EERI was about US$2.93/MMBtu (cheat sheet).</t>
      </text>
    </comment>
    <comment ref="X39" authorId="0" shapeId="0">
      <text>
        <t>Logistics cap (CLLC) — Fin90, New-Build Gas Engine - Visayas 440MW
Source: Visayas US$3.15/MMBtu = Luzon 1.90 + marine/small-scale LNG 0.95 + storage 0.30 (draft Resolution 2 caps). Boil-off allowance removed per working Rules Sec. 17 (19 Oct 2026). Actual billed regas for Santa Rita/EERI was about US$2.93/MMBtu (cheat sheet).</t>
      </text>
    </comment>
    <comment ref="Y39" authorId="0" shapeId="0">
      <text>
        <t>Logistics cap (CLLC) — Fin90, New-Build CCGT - Visayas 500MW
Source: Visayas US$3.15/MMBtu = Luzon 1.90 + marine/small-scale LNG 0.95 + storage 0.30 (draft Resolution 2 caps). Boil-off allowance removed per working Rules Sec. 17 (19 Oct 2026). Actual billed regas for Santa Rita/EERI was about US$2.93/MMBtu (cheat sheet).</t>
      </text>
    </comment>
    <comment ref="Z39" authorId="0" shapeId="0">
      <text>
        <t>Logistics cap (CLLC) — Fin90, New-Build OCGT - Visayas 500MW
Source: Visayas US$3.15/MMBtu = Luzon 1.90 + marine/small-scale LNG 0.95 + storage 0.30 (draft Resolution 2 caps). Boil-off allowance removed per working Rules Sec. 17 (19 Oct 2026). Actual billed regas for Santa Rita/EERI was about US$2.93/MMBtu (cheat sheet).</t>
      </text>
    </comment>
    <comment ref="AA39" authorId="0" shapeId="0">
      <text>
        <t>Logistics cap (CLLC) — Fin90, New-Build Gas Engine - Visayas 500MW
Source: Visayas US$3.15/MMBtu = Luzon 1.90 + marine/small-scale LNG 0.95 + storage 0.30 (draft Resolution 2 caps). Boil-off allowance removed per working Rules Sec. 17 (19 Oct 2026). Actual billed regas for Santa Rita/EERI was about US$2.93/MMBtu (cheat sheet).</t>
      </text>
    </comment>
    <comment ref="F40" authorId="0" shapeId="0">
      <text>
        <t>Variable O&amp;M incl. logistics (model input) — Fin42, Lot 1 Existing CCGT - Luzon
Source: (VOM + CLLC x heat rate / 1,000) x 8,760 x energy CF / 1,000.</t>
      </text>
    </comment>
    <comment ref="G40" authorId="0" shapeId="0">
      <text>
        <t>Variable O&amp;M incl. logistics (model input) — Fin42, Lot 2 Existing CCGT - Luzon
Source: (VOM + CLLC x heat rate / 1,000) x 8,760 x energy CF / 1,000.</t>
      </text>
    </comment>
    <comment ref="H40" authorId="0" shapeId="0">
      <text>
        <t>Variable O&amp;M incl. logistics (model input) — Fin42, New-Build CCGT - Luzon 1000MW
Source: (VOM + CLLC x heat rate / 1,000) x 8,760 x energy CF / 1,000.</t>
      </text>
    </comment>
    <comment ref="I40" authorId="0" shapeId="0">
      <text>
        <t>Variable O&amp;M incl. logistics (model input) — Fin42, New-Build OCGT - Luzon 1000MW
Source: (VOM + CLLC x heat rate / 1,000) x 8,760 x energy CF / 1,000.</t>
      </text>
    </comment>
    <comment ref="J40" authorId="0" shapeId="0">
      <text>
        <t>Variable O&amp;M incl. logistics (model input) — Fin42, New-Build Gas Engine - Luzon 1000MW
Source: (VOM + CLLC x heat rate / 1,000) x 8,760 x energy CF / 1,000.</t>
      </text>
    </comment>
    <comment ref="K40" authorId="0" shapeId="0">
      <text>
        <t>Variable O&amp;M incl. logistics (model input) — Fin42, New-Build CCGT - Visayas 440MW
Source: (VOM + CLLC x heat rate / 1,000) x 8,760 x energy CF / 1,000.</t>
      </text>
    </comment>
    <comment ref="L40" authorId="0" shapeId="0">
      <text>
        <t>Variable O&amp;M incl. logistics (model input) — Fin42, New-Build OCGT - Visayas 440MW
Source: (VOM + CLLC x heat rate / 1,000) x 8,760 x energy CF / 1,000.</t>
      </text>
    </comment>
    <comment ref="M40" authorId="0" shapeId="0">
      <text>
        <t>Variable O&amp;M incl. logistics (model input) — Fin42, New-Build Gas Engine - Visayas 440MW
Source: (VOM + CLLC x heat rate / 1,000) x 8,760 x energy CF / 1,000.</t>
      </text>
    </comment>
    <comment ref="N40" authorId="0" shapeId="0">
      <text>
        <t>Variable O&amp;M incl. logistics (model input) — Fin42, New-Build CCGT - Visayas 500MW
Source: (VOM + CLLC x heat rate / 1,000) x 8,760 x energy CF / 1,000.</t>
      </text>
    </comment>
    <comment ref="O40" authorId="0" shapeId="0">
      <text>
        <t>Variable O&amp;M incl. logistics (model input) — Fin42, New-Build OCGT - Visayas 500MW
Source: (VOM + CLLC x heat rate / 1,000) x 8,760 x energy CF / 1,000.</t>
      </text>
    </comment>
    <comment ref="P40" authorId="0" shapeId="0">
      <text>
        <t>Variable O&amp;M incl. logistics (model input) — Fin42, New-Build Gas Engine - Visayas 500MW
Source: (VOM + CLLC x heat rate / 1,000) x 8,760 x energy CF / 1,000.</t>
      </text>
    </comment>
    <comment ref="Q40" authorId="0" shapeId="0">
      <text>
        <t>Variable O&amp;M incl. logistics (model input) — Fin90, Lot 1 Existing CCGT - Luzon
Source: (VOM + CLLC x heat rate / 1,000) x 8,760 x energy CF / 1,000.</t>
      </text>
    </comment>
    <comment ref="R40" authorId="0" shapeId="0">
      <text>
        <t>Variable O&amp;M incl. logistics (model input) — Fin90, Lot 2 Existing CCGT - Luzon
Source: (VOM + CLLC x heat rate / 1,000) x 8,760 x energy CF / 1,000.</t>
      </text>
    </comment>
    <comment ref="S40" authorId="0" shapeId="0">
      <text>
        <t>Variable O&amp;M incl. logistics (model input) — Fin90, New-Build CCGT - Luzon 1000MW
Source: (VOM + CLLC x heat rate / 1,000) x 8,760 x energy CF / 1,000.</t>
      </text>
    </comment>
    <comment ref="T40" authorId="0" shapeId="0">
      <text>
        <t>Variable O&amp;M incl. logistics (model input) — Fin90, New-Build OCGT - Luzon 1000MW
Source: (VOM + CLLC x heat rate / 1,000) x 8,760 x energy CF / 1,000.</t>
      </text>
    </comment>
    <comment ref="U40" authorId="0" shapeId="0">
      <text>
        <t>Variable O&amp;M incl. logistics (model input) — Fin90, New-Build Gas Engine - Luzon 1000MW
Source: (VOM + CLLC x heat rate / 1,000) x 8,760 x energy CF / 1,000.</t>
      </text>
    </comment>
    <comment ref="V40" authorId="0" shapeId="0">
      <text>
        <t>Variable O&amp;M incl. logistics (model input) — Fin90, New-Build CCGT - Visayas 440MW
Source: (VOM + CLLC x heat rate / 1,000) x 8,760 x energy CF / 1,000.</t>
      </text>
    </comment>
    <comment ref="W40" authorId="0" shapeId="0">
      <text>
        <t>Variable O&amp;M incl. logistics (model input) — Fin90, New-Build OCGT - Visayas 440MW
Source: (VOM + CLLC x heat rate / 1,000) x 8,760 x energy CF / 1,000.</t>
      </text>
    </comment>
    <comment ref="X40" authorId="0" shapeId="0">
      <text>
        <t>Variable O&amp;M incl. logistics (model input) — Fin90, New-Build Gas Engine - Visayas 440MW
Source: (VOM + CLLC x heat rate / 1,000) x 8,760 x energy CF / 1,000.</t>
      </text>
    </comment>
    <comment ref="Y40" authorId="0" shapeId="0">
      <text>
        <t>Variable O&amp;M incl. logistics (model input) — Fin90, New-Build CCGT - Visayas 500MW
Source: (VOM + CLLC x heat rate / 1,000) x 8,760 x energy CF / 1,000.</t>
      </text>
    </comment>
    <comment ref="Z40" authorId="0" shapeId="0">
      <text>
        <t>Variable O&amp;M incl. logistics (model input) — Fin90, New-Build OCGT - Visayas 500MW
Source: (VOM + CLLC x heat rate / 1,000) x 8,760 x energy CF / 1,000.</t>
      </text>
    </comment>
    <comment ref="AA40" authorId="0" shapeId="0">
      <text>
        <t>Variable O&amp;M incl. logistics (model input) — Fin90, New-Build Gas Engine - Visayas 500MW
Source: (VOM + CLLC x heat rate / 1,000) x 8,760 x energy CF / 1,000.</t>
      </text>
    </comment>
    <comment ref="F41" authorId="0" shapeId="0">
      <text>
        <t>G&amp;A — Fin42, Lot 1 Existing CCGT - Luzon
Source: 6% of fixed + variable O&amp;M (draft Resolution 2; corporate overhead standard).</t>
      </text>
    </comment>
    <comment ref="G41" authorId="0" shapeId="0">
      <text>
        <t>G&amp;A — Fin42, Lot 2 Existing CCGT - Luzon
Source: 6% of fixed + variable O&amp;M (draft Resolution 2; corporate overhead standard).</t>
      </text>
    </comment>
    <comment ref="H41" authorId="0" shapeId="0">
      <text>
        <t>G&amp;A — Fin42, New-Build CCGT - Luzon 1000MW
Source: 6% of fixed + variable O&amp;M (draft Resolution 2; corporate overhead standard).</t>
      </text>
    </comment>
    <comment ref="I41" authorId="0" shapeId="0">
      <text>
        <t>G&amp;A — Fin42, New-Build OCGT - Luzon 1000MW
Source: 6% of fixed + variable O&amp;M (draft Resolution 2; corporate overhead standard).</t>
      </text>
    </comment>
    <comment ref="J41" authorId="0" shapeId="0">
      <text>
        <t>G&amp;A — Fin42, New-Build Gas Engine - Luzon 1000MW
Source: 6% of fixed + variable O&amp;M (draft Resolution 2; corporate overhead standard).</t>
      </text>
    </comment>
    <comment ref="K41" authorId="0" shapeId="0">
      <text>
        <t>G&amp;A — Fin42, New-Build CCGT - Visayas 440MW
Source: 6% of fixed + variable O&amp;M (draft Resolution 2; corporate overhead standard).</t>
      </text>
    </comment>
    <comment ref="L41" authorId="0" shapeId="0">
      <text>
        <t>G&amp;A — Fin42, New-Build OCGT - Visayas 440MW
Source: 6% of fixed + variable O&amp;M (draft Resolution 2; corporate overhead standard).</t>
      </text>
    </comment>
    <comment ref="M41" authorId="0" shapeId="0">
      <text>
        <t>G&amp;A — Fin42, New-Build Gas Engine - Visayas 440MW
Source: 6% of fixed + variable O&amp;M (draft Resolution 2; corporate overhead standard).</t>
      </text>
    </comment>
    <comment ref="N41" authorId="0" shapeId="0">
      <text>
        <t>G&amp;A — Fin42, New-Build CCGT - Visayas 500MW
Source: 6% of fixed + variable O&amp;M (draft Resolution 2; corporate overhead standard).</t>
      </text>
    </comment>
    <comment ref="O41" authorId="0" shapeId="0">
      <text>
        <t>G&amp;A — Fin42, New-Build OCGT - Visayas 500MW
Source: 6% of fixed + variable O&amp;M (draft Resolution 2; corporate overhead standard).</t>
      </text>
    </comment>
    <comment ref="P41" authorId="0" shapeId="0">
      <text>
        <t>G&amp;A — Fin42, New-Build Gas Engine - Visayas 500MW
Source: 6% of fixed + variable O&amp;M (draft Resolution 2; corporate overhead standard).</t>
      </text>
    </comment>
    <comment ref="Q41" authorId="0" shapeId="0">
      <text>
        <t>G&amp;A — Fin90, Lot 1 Existing CCGT - Luzon
Source: 6% of fixed + variable O&amp;M (draft Resolution 2; corporate overhead standard).</t>
      </text>
    </comment>
    <comment ref="R41" authorId="0" shapeId="0">
      <text>
        <t>G&amp;A — Fin90, Lot 2 Existing CCGT - Luzon
Source: 6% of fixed + variable O&amp;M (draft Resolution 2; corporate overhead standard).</t>
      </text>
    </comment>
    <comment ref="S41" authorId="0" shapeId="0">
      <text>
        <t>G&amp;A — Fin90, New-Build CCGT - Luzon 1000MW
Source: 6% of fixed + variable O&amp;M (draft Resolution 2; corporate overhead standard).</t>
      </text>
    </comment>
    <comment ref="T41" authorId="0" shapeId="0">
      <text>
        <t>G&amp;A — Fin90, New-Build OCGT - Luzon 1000MW
Source: 6% of fixed + variable O&amp;M (draft Resolution 2; corporate overhead standard).</t>
      </text>
    </comment>
    <comment ref="U41" authorId="0" shapeId="0">
      <text>
        <t>G&amp;A — Fin90, New-Build Gas Engine - Luzon 1000MW
Source: 6% of fixed + variable O&amp;M (draft Resolution 2; corporate overhead standard).</t>
      </text>
    </comment>
    <comment ref="V41" authorId="0" shapeId="0">
      <text>
        <t>G&amp;A — Fin90, New-Build CCGT - Visayas 440MW
Source: 6% of fixed + variable O&amp;M (draft Resolution 2; corporate overhead standard).</t>
      </text>
    </comment>
    <comment ref="W41" authorId="0" shapeId="0">
      <text>
        <t>G&amp;A — Fin90, New-Build OCGT - Visayas 440MW
Source: 6% of fixed + variable O&amp;M (draft Resolution 2; corporate overhead standard).</t>
      </text>
    </comment>
    <comment ref="X41" authorId="0" shapeId="0">
      <text>
        <t>G&amp;A — Fin90, New-Build Gas Engine - Visayas 440MW
Source: 6% of fixed + variable O&amp;M (draft Resolution 2; corporate overhead standard).</t>
      </text>
    </comment>
    <comment ref="Y41" authorId="0" shapeId="0">
      <text>
        <t>G&amp;A — Fin90, New-Build CCGT - Visayas 500MW
Source: 6% of fixed + variable O&amp;M (draft Resolution 2; corporate overhead standard).</t>
      </text>
    </comment>
    <comment ref="Z41" authorId="0" shapeId="0">
      <text>
        <t>G&amp;A — Fin90, New-Build OCGT - Visayas 500MW
Source: 6% of fixed + variable O&amp;M (draft Resolution 2; corporate overhead standard).</t>
      </text>
    </comment>
    <comment ref="AA41" authorId="0" shapeId="0">
      <text>
        <t>G&amp;A — Fin90, New-Build Gas Engine - Visayas 500MW
Source: 6% of fixed + variable O&amp;M (draft Resolution 2; corporate overhead standard).</t>
      </text>
    </comment>
    <comment ref="F43" authorId="0" shapeId="0">
      <text>
        <t>Debt share — Fin42, Lot 1 Existing CCGT - Luzon
Source: 70:30 debt:equity, commercial project-finance standard (draft Resolution 2, Annex A.9).</t>
      </text>
    </comment>
    <comment ref="G43" authorId="0" shapeId="0">
      <text>
        <t>Debt share — Fin42, Lot 2 Existing CCGT - Luzon
Source: 70:30 debt:equity, commercial project-finance standard (draft Resolution 2, Annex A.9).</t>
      </text>
    </comment>
    <comment ref="H43" authorId="0" shapeId="0">
      <text>
        <t>Debt share — Fin42, New-Build CCGT - Luzon 1000MW
Source: 70:30 debt:equity, commercial project-finance standard (draft Resolution 2, Annex A.9).</t>
      </text>
    </comment>
    <comment ref="I43" authorId="0" shapeId="0">
      <text>
        <t>Debt share — Fin42, New-Build OCGT - Luzon 1000MW
Source: 70:30 debt:equity, commercial project-finance standard (draft Resolution 2, Annex A.9).</t>
      </text>
    </comment>
    <comment ref="J43" authorId="0" shapeId="0">
      <text>
        <t>Debt share — Fin42, New-Build Gas Engine - Luzon 1000MW
Source: 70:30 debt:equity, commercial project-finance standard (draft Resolution 2, Annex A.9).</t>
      </text>
    </comment>
    <comment ref="K43" authorId="0" shapeId="0">
      <text>
        <t>Debt share — Fin42, New-Build CCGT - Visayas 440MW
Source: 70:30 debt:equity, commercial project-finance standard (draft Resolution 2, Annex A.9).</t>
      </text>
    </comment>
    <comment ref="L43" authorId="0" shapeId="0">
      <text>
        <t>Debt share — Fin42, New-Build OCGT - Visayas 440MW
Source: 70:30 debt:equity, commercial project-finance standard (draft Resolution 2, Annex A.9).</t>
      </text>
    </comment>
    <comment ref="M43" authorId="0" shapeId="0">
      <text>
        <t>Debt share — Fin42, New-Build Gas Engine - Visayas 440MW
Source: 70:30 debt:equity, commercial project-finance standard (draft Resolution 2, Annex A.9).</t>
      </text>
    </comment>
    <comment ref="N43" authorId="0" shapeId="0">
      <text>
        <t>Debt share — Fin42, New-Build CCGT - Visayas 500MW
Source: 70:30 debt:equity, commercial project-finance standard (draft Resolution 2, Annex A.9).</t>
      </text>
    </comment>
    <comment ref="O43" authorId="0" shapeId="0">
      <text>
        <t>Debt share — Fin42, New-Build OCGT - Visayas 500MW
Source: 70:30 debt:equity, commercial project-finance standard (draft Resolution 2, Annex A.9).</t>
      </text>
    </comment>
    <comment ref="P43" authorId="0" shapeId="0">
      <text>
        <t>Debt share — Fin42, New-Build Gas Engine - Visayas 500MW
Source: 70:30 debt:equity, commercial project-finance standard (draft Resolution 2, Annex A.9).</t>
      </text>
    </comment>
    <comment ref="Q43" authorId="0" shapeId="0">
      <text>
        <t>Debt share — Fin90, Lot 1 Existing CCGT - Luzon
Source: 70:30 debt:equity, commercial project-finance standard (draft Resolution 2, Annex A.9).</t>
      </text>
    </comment>
    <comment ref="R43" authorId="0" shapeId="0">
      <text>
        <t>Debt share — Fin90, Lot 2 Existing CCGT - Luzon
Source: 70:30 debt:equity, commercial project-finance standard (draft Resolution 2, Annex A.9).</t>
      </text>
    </comment>
    <comment ref="S43" authorId="0" shapeId="0">
      <text>
        <t>Debt share — Fin90, New-Build CCGT - Luzon 1000MW
Source: 70:30 debt:equity, commercial project-finance standard (draft Resolution 2, Annex A.9).</t>
      </text>
    </comment>
    <comment ref="T43" authorId="0" shapeId="0">
      <text>
        <t>Debt share — Fin90, New-Build OCGT - Luzon 1000MW
Source: 70:30 debt:equity, commercial project-finance standard (draft Resolution 2, Annex A.9).</t>
      </text>
    </comment>
    <comment ref="U43" authorId="0" shapeId="0">
      <text>
        <t>Debt share — Fin90, New-Build Gas Engine - Luzon 1000MW
Source: 70:30 debt:equity, commercial project-finance standard (draft Resolution 2, Annex A.9).</t>
      </text>
    </comment>
    <comment ref="V43" authorId="0" shapeId="0">
      <text>
        <t>Debt share — Fin90, New-Build CCGT - Visayas 440MW
Source: 70:30 debt:equity, commercial project-finance standard (draft Resolution 2, Annex A.9).</t>
      </text>
    </comment>
    <comment ref="W43" authorId="0" shapeId="0">
      <text>
        <t>Debt share — Fin90, New-Build OCGT - Visayas 440MW
Source: 70:30 debt:equity, commercial project-finance standard (draft Resolution 2, Annex A.9).</t>
      </text>
    </comment>
    <comment ref="X43" authorId="0" shapeId="0">
      <text>
        <t>Debt share — Fin90, New-Build Gas Engine - Visayas 440MW
Source: 70:30 debt:equity, commercial project-finance standard (draft Resolution 2, Annex A.9).</t>
      </text>
    </comment>
    <comment ref="Y43" authorId="0" shapeId="0">
      <text>
        <t>Debt share — Fin90, New-Build CCGT - Visayas 500MW
Source: 70:30 debt:equity, commercial project-finance standard (draft Resolution 2, Annex A.9).</t>
      </text>
    </comment>
    <comment ref="Z43" authorId="0" shapeId="0">
      <text>
        <t>Debt share — Fin90, New-Build OCGT - Visayas 500MW
Source: 70:30 debt:equity, commercial project-finance standard (draft Resolution 2, Annex A.9).</t>
      </text>
    </comment>
    <comment ref="AA43" authorId="0" shapeId="0">
      <text>
        <t>Debt share — Fin90, New-Build Gas Engine - Visayas 500MW
Source: 70:30 debt:equity, commercial project-finance standard (draft Resolution 2, Annex A.9).</t>
      </text>
    </comment>
    <comment ref="F44" authorId="0" shapeId="0">
      <text>
        <t>Cost of debt (local and foreign) — Fin42, Lot 1 Existing CCGT - Luzon
Source: 8% pre-tax (draft Resolution 2, A.10; local ~7.5%, USD ~8.5%).</t>
      </text>
    </comment>
    <comment ref="G44" authorId="0" shapeId="0">
      <text>
        <t>Cost of debt (local and foreign) — Fin42, Lot 2 Existing CCGT - Luzon
Source: 8% pre-tax (draft Resolution 2, A.10; local ~7.5%, USD ~8.5%).</t>
      </text>
    </comment>
    <comment ref="H44" authorId="0" shapeId="0">
      <text>
        <t>Cost of debt (local and foreign) — Fin42, New-Build CCGT - Luzon 1000MW
Source: 8% pre-tax (draft Resolution 2, A.10; local ~7.5%, USD ~8.5%).</t>
      </text>
    </comment>
    <comment ref="I44" authorId="0" shapeId="0">
      <text>
        <t>Cost of debt (local and foreign) — Fin42, New-Build OCGT - Luzon 1000MW
Source: 8% pre-tax (draft Resolution 2, A.10; local ~7.5%, USD ~8.5%).</t>
      </text>
    </comment>
    <comment ref="J44" authorId="0" shapeId="0">
      <text>
        <t>Cost of debt (local and foreign) — Fin42, New-Build Gas Engine - Luzon 1000MW
Source: 8% pre-tax (draft Resolution 2, A.10; local ~7.5%, USD ~8.5%).</t>
      </text>
    </comment>
    <comment ref="K44" authorId="0" shapeId="0">
      <text>
        <t>Cost of debt (local and foreign) — Fin42, New-Build CCGT - Visayas 440MW
Source: 8% pre-tax (draft Resolution 2, A.10; local ~7.5%, USD ~8.5%).</t>
      </text>
    </comment>
    <comment ref="L44" authorId="0" shapeId="0">
      <text>
        <t>Cost of debt (local and foreign) — Fin42, New-Build OCGT - Visayas 440MW
Source: 8% pre-tax (draft Resolution 2, A.10; local ~7.5%, USD ~8.5%).</t>
      </text>
    </comment>
    <comment ref="M44" authorId="0" shapeId="0">
      <text>
        <t>Cost of debt (local and foreign) — Fin42, New-Build Gas Engine - Visayas 440MW
Source: 8% pre-tax (draft Resolution 2, A.10; local ~7.5%, USD ~8.5%).</t>
      </text>
    </comment>
    <comment ref="N44" authorId="0" shapeId="0">
      <text>
        <t>Cost of debt (local and foreign) — Fin42, New-Build CCGT - Visayas 500MW
Source: 8% pre-tax (draft Resolution 2, A.10; local ~7.5%, USD ~8.5%).</t>
      </text>
    </comment>
    <comment ref="O44" authorId="0" shapeId="0">
      <text>
        <t>Cost of debt (local and foreign) — Fin42, New-Build OCGT - Visayas 500MW
Source: 8% pre-tax (draft Resolution 2, A.10; local ~7.5%, USD ~8.5%).</t>
      </text>
    </comment>
    <comment ref="P44" authorId="0" shapeId="0">
      <text>
        <t>Cost of debt (local and foreign) — Fin42, New-Build Gas Engine - Visayas 500MW
Source: 8% pre-tax (draft Resolution 2, A.10; local ~7.5%, USD ~8.5%).</t>
      </text>
    </comment>
    <comment ref="Q44" authorId="0" shapeId="0">
      <text>
        <t>Cost of debt (local and foreign) — Fin90, Lot 1 Existing CCGT - Luzon
Source: 8% pre-tax (draft Resolution 2, A.10; local ~7.5%, USD ~8.5%).</t>
      </text>
    </comment>
    <comment ref="R44" authorId="0" shapeId="0">
      <text>
        <t>Cost of debt (local and foreign) — Fin90, Lot 2 Existing CCGT - Luzon
Source: 8% pre-tax (draft Resolution 2, A.10; local ~7.5%, USD ~8.5%).</t>
      </text>
    </comment>
    <comment ref="S44" authorId="0" shapeId="0">
      <text>
        <t>Cost of debt (local and foreign) — Fin90, New-Build CCGT - Luzon 1000MW
Source: 8% pre-tax (draft Resolution 2, A.10; local ~7.5%, USD ~8.5%).</t>
      </text>
    </comment>
    <comment ref="T44" authorId="0" shapeId="0">
      <text>
        <t>Cost of debt (local and foreign) — Fin90, New-Build OCGT - Luzon 1000MW
Source: 8% pre-tax (draft Resolution 2, A.10; local ~7.5%, USD ~8.5%).</t>
      </text>
    </comment>
    <comment ref="U44" authorId="0" shapeId="0">
      <text>
        <t>Cost of debt (local and foreign) — Fin90, New-Build Gas Engine - Luzon 1000MW
Source: 8% pre-tax (draft Resolution 2, A.10; local ~7.5%, USD ~8.5%).</t>
      </text>
    </comment>
    <comment ref="V44" authorId="0" shapeId="0">
      <text>
        <t>Cost of debt (local and foreign) — Fin90, New-Build CCGT - Visayas 440MW
Source: 8% pre-tax (draft Resolution 2, A.10; local ~7.5%, USD ~8.5%).</t>
      </text>
    </comment>
    <comment ref="W44" authorId="0" shapeId="0">
      <text>
        <t>Cost of debt (local and foreign) — Fin90, New-Build OCGT - Visayas 440MW
Source: 8% pre-tax (draft Resolution 2, A.10; local ~7.5%, USD ~8.5%).</t>
      </text>
    </comment>
    <comment ref="X44" authorId="0" shapeId="0">
      <text>
        <t>Cost of debt (local and foreign) — Fin90, New-Build Gas Engine - Visayas 440MW
Source: 8% pre-tax (draft Resolution 2, A.10; local ~7.5%, USD ~8.5%).</t>
      </text>
    </comment>
    <comment ref="Y44" authorId="0" shapeId="0">
      <text>
        <t>Cost of debt (local and foreign) — Fin90, New-Build CCGT - Visayas 500MW
Source: 8% pre-tax (draft Resolution 2, A.10; local ~7.5%, USD ~8.5%).</t>
      </text>
    </comment>
    <comment ref="Z44" authorId="0" shapeId="0">
      <text>
        <t>Cost of debt (local and foreign) — Fin90, New-Build OCGT - Visayas 500MW
Source: 8% pre-tax (draft Resolution 2, A.10; local ~7.5%, USD ~8.5%).</t>
      </text>
    </comment>
    <comment ref="AA44" authorId="0" shapeId="0">
      <text>
        <t>Cost of debt (local and foreign) — Fin90, New-Build Gas Engine - Visayas 500MW
Source: 8% pre-tax (draft Resolution 2, A.10; local ~7.5%, USD ~8.5%).</t>
      </text>
    </comment>
    <comment ref="F45" authorId="0" shapeId="0">
      <text>
        <t>Debt repayment period — Fin42, Lot 1 Existing CCGT - Luzon
Source: 15 years (draft Resolution 2, A.11).</t>
      </text>
    </comment>
    <comment ref="G45" authorId="0" shapeId="0">
      <text>
        <t>Debt repayment period — Fin42, Lot 2 Existing CCGT - Luzon
Source: 15 years (draft Resolution 2, A.11).</t>
      </text>
    </comment>
    <comment ref="H45" authorId="0" shapeId="0">
      <text>
        <t>Debt repayment period — Fin42, New-Build CCGT - Luzon 1000MW
Source: 15 years (draft Resolution 2, A.11).</t>
      </text>
    </comment>
    <comment ref="I45" authorId="0" shapeId="0">
      <text>
        <t>Debt repayment period — Fin42, New-Build OCGT - Luzon 1000MW
Source: 15 years (draft Resolution 2, A.11).</t>
      </text>
    </comment>
    <comment ref="J45" authorId="0" shapeId="0">
      <text>
        <t>Debt repayment period — Fin42, New-Build Gas Engine - Luzon 1000MW
Source: 15 years (draft Resolution 2, A.11).</t>
      </text>
    </comment>
    <comment ref="K45" authorId="0" shapeId="0">
      <text>
        <t>Debt repayment period — Fin42, New-Build CCGT - Visayas 440MW
Source: 15 years (draft Resolution 2, A.11).</t>
      </text>
    </comment>
    <comment ref="L45" authorId="0" shapeId="0">
      <text>
        <t>Debt repayment period — Fin42, New-Build OCGT - Visayas 440MW
Source: 15 years (draft Resolution 2, A.11).</t>
      </text>
    </comment>
    <comment ref="M45" authorId="0" shapeId="0">
      <text>
        <t>Debt repayment period — Fin42, New-Build Gas Engine - Visayas 440MW
Source: 15 years (draft Resolution 2, A.11).</t>
      </text>
    </comment>
    <comment ref="N45" authorId="0" shapeId="0">
      <text>
        <t>Debt repayment period — Fin42, New-Build CCGT - Visayas 500MW
Source: 15 years (draft Resolution 2, A.11).</t>
      </text>
    </comment>
    <comment ref="O45" authorId="0" shapeId="0">
      <text>
        <t>Debt repayment period — Fin42, New-Build OCGT - Visayas 500MW
Source: 15 years (draft Resolution 2, A.11).</t>
      </text>
    </comment>
    <comment ref="P45" authorId="0" shapeId="0">
      <text>
        <t>Debt repayment period — Fin42, New-Build Gas Engine - Visayas 500MW
Source: 15 years (draft Resolution 2, A.11).</t>
      </text>
    </comment>
    <comment ref="Q45" authorId="0" shapeId="0">
      <text>
        <t>Debt repayment period — Fin90, Lot 1 Existing CCGT - Luzon
Source: 15 years (draft Resolution 2, A.11).</t>
      </text>
    </comment>
    <comment ref="R45" authorId="0" shapeId="0">
      <text>
        <t>Debt repayment period — Fin90, Lot 2 Existing CCGT - Luzon
Source: 15 years (draft Resolution 2, A.11).</t>
      </text>
    </comment>
    <comment ref="S45" authorId="0" shapeId="0">
      <text>
        <t>Debt repayment period — Fin90, New-Build CCGT - Luzon 1000MW
Source: 15 years (draft Resolution 2, A.11).</t>
      </text>
    </comment>
    <comment ref="T45" authorId="0" shapeId="0">
      <text>
        <t>Debt repayment period — Fin90, New-Build OCGT - Luzon 1000MW
Source: 15 years (draft Resolution 2, A.11).</t>
      </text>
    </comment>
    <comment ref="U45" authorId="0" shapeId="0">
      <text>
        <t>Debt repayment period — Fin90, New-Build Gas Engine - Luzon 1000MW
Source: 15 years (draft Resolution 2, A.11).</t>
      </text>
    </comment>
    <comment ref="V45" authorId="0" shapeId="0">
      <text>
        <t>Debt repayment period — Fin90, New-Build CCGT - Visayas 440MW
Source: 15 years (draft Resolution 2, A.11).</t>
      </text>
    </comment>
    <comment ref="W45" authorId="0" shapeId="0">
      <text>
        <t>Debt repayment period — Fin90, New-Build OCGT - Visayas 440MW
Source: 15 years (draft Resolution 2, A.11).</t>
      </text>
    </comment>
    <comment ref="X45" authorId="0" shapeId="0">
      <text>
        <t>Debt repayment period — Fin90, New-Build Gas Engine - Visayas 440MW
Source: 15 years (draft Resolution 2, A.11).</t>
      </text>
    </comment>
    <comment ref="Y45" authorId="0" shapeId="0">
      <text>
        <t>Debt repayment period — Fin90, New-Build CCGT - Visayas 500MW
Source: 15 years (draft Resolution 2, A.11).</t>
      </text>
    </comment>
    <comment ref="Z45" authorId="0" shapeId="0">
      <text>
        <t>Debt repayment period — Fin90, New-Build OCGT - Visayas 500MW
Source: 15 years (draft Resolution 2, A.11).</t>
      </text>
    </comment>
    <comment ref="AA45" authorId="0" shapeId="0">
      <text>
        <t>Debt repayment period — Fin90, New-Build Gas Engine - Visayas 500MW
Source: 15 years (draft Resolution 2, A.11).</t>
      </text>
    </comment>
    <comment ref="F46" authorId="0" shapeId="0">
      <text>
        <t>Grace period from COD — Fin42, Lot 1 Existing CCGT - Luzon
Source: naruto / ERC Mid-Merit Financial Model default (ADV model reviewed 9 Oct 2026); unchanged across cases. (A.25).</t>
      </text>
    </comment>
    <comment ref="G46" authorId="0" shapeId="0">
      <text>
        <t>Grace period from COD — Fin42, Lot 2 Existing CCGT - Luzon
Source: naruto / ERC Mid-Merit Financial Model default (ADV model reviewed 9 Oct 2026); unchanged across cases. (A.25).</t>
      </text>
    </comment>
    <comment ref="H46" authorId="0" shapeId="0">
      <text>
        <t>Grace period from COD — Fin42, New-Build CCGT - Luzon 1000MW
Source: naruto / ERC Mid-Merit Financial Model default (ADV model reviewed 9 Oct 2026); unchanged across cases. (A.25).</t>
      </text>
    </comment>
    <comment ref="I46" authorId="0" shapeId="0">
      <text>
        <t>Grace period from COD — Fin42, New-Build OCGT - Luzon 1000MW
Source: naruto / ERC Mid-Merit Financial Model default (ADV model reviewed 9 Oct 2026); unchanged across cases. (A.25).</t>
      </text>
    </comment>
    <comment ref="J46" authorId="0" shapeId="0">
      <text>
        <t>Grace period from COD — Fin42, New-Build Gas Engine - Luzon 1000MW
Source: naruto / ERC Mid-Merit Financial Model default (ADV model reviewed 9 Oct 2026); unchanged across cases. (A.25).</t>
      </text>
    </comment>
    <comment ref="K46" authorId="0" shapeId="0">
      <text>
        <t>Grace period from COD — Fin42, New-Build CCGT - Visayas 440MW
Source: naruto / ERC Mid-Merit Financial Model default (ADV model reviewed 9 Oct 2026); unchanged across cases. (A.25).</t>
      </text>
    </comment>
    <comment ref="L46" authorId="0" shapeId="0">
      <text>
        <t>Grace period from COD — Fin42, New-Build OCGT - Visayas 440MW
Source: naruto / ERC Mid-Merit Financial Model default (ADV model reviewed 9 Oct 2026); unchanged across cases. (A.25).</t>
      </text>
    </comment>
    <comment ref="M46" authorId="0" shapeId="0">
      <text>
        <t>Grace period from COD — Fin42, New-Build Gas Engine - Visayas 440MW
Source: naruto / ERC Mid-Merit Financial Model default (ADV model reviewed 9 Oct 2026); unchanged across cases. (A.25).</t>
      </text>
    </comment>
    <comment ref="N46" authorId="0" shapeId="0">
      <text>
        <t>Grace period from COD — Fin42, New-Build CCGT - Visayas 500MW
Source: naruto / ERC Mid-Merit Financial Model default (ADV model reviewed 9 Oct 2026); unchanged across cases. (A.25).</t>
      </text>
    </comment>
    <comment ref="O46" authorId="0" shapeId="0">
      <text>
        <t>Grace period from COD — Fin42, New-Build OCGT - Visayas 500MW
Source: naruto / ERC Mid-Merit Financial Model default (ADV model reviewed 9 Oct 2026); unchanged across cases. (A.25).</t>
      </text>
    </comment>
    <comment ref="P46" authorId="0" shapeId="0">
      <text>
        <t>Grace period from COD — Fin42, New-Build Gas Engine - Visayas 500MW
Source: naruto / ERC Mid-Merit Financial Model default (ADV model reviewed 9 Oct 2026); unchanged across cases. (A.25).</t>
      </text>
    </comment>
    <comment ref="Q46" authorId="0" shapeId="0">
      <text>
        <t>Grace period from COD — Fin90, Lot 1 Existing CCGT - Luzon
Source: naruto / ERC Mid-Merit Financial Model default (ADV model reviewed 9 Oct 2026); unchanged across cases. (A.25).</t>
      </text>
    </comment>
    <comment ref="R46" authorId="0" shapeId="0">
      <text>
        <t>Grace period from COD — Fin90, Lot 2 Existing CCGT - Luzon
Source: naruto / ERC Mid-Merit Financial Model default (ADV model reviewed 9 Oct 2026); unchanged across cases. (A.25).</t>
      </text>
    </comment>
    <comment ref="S46" authorId="0" shapeId="0">
      <text>
        <t>Grace period from COD — Fin90, New-Build CCGT - Luzon 1000MW
Source: naruto / ERC Mid-Merit Financial Model default (ADV model reviewed 9 Oct 2026); unchanged across cases. (A.25).</t>
      </text>
    </comment>
    <comment ref="T46" authorId="0" shapeId="0">
      <text>
        <t>Grace period from COD — Fin90, New-Build OCGT - Luzon 1000MW
Source: naruto / ERC Mid-Merit Financial Model default (ADV model reviewed 9 Oct 2026); unchanged across cases. (A.25).</t>
      </text>
    </comment>
    <comment ref="U46" authorId="0" shapeId="0">
      <text>
        <t>Grace period from COD — Fin90, New-Build Gas Engine - Luzon 1000MW
Source: naruto / ERC Mid-Merit Financial Model default (ADV model reviewed 9 Oct 2026); unchanged across cases. (A.25).</t>
      </text>
    </comment>
    <comment ref="V46" authorId="0" shapeId="0">
      <text>
        <t>Grace period from COD — Fin90, New-Build CCGT - Visayas 440MW
Source: naruto / ERC Mid-Merit Financial Model default (ADV model reviewed 9 Oct 2026); unchanged across cases. (A.25).</t>
      </text>
    </comment>
    <comment ref="W46" authorId="0" shapeId="0">
      <text>
        <t>Grace period from COD — Fin90, New-Build OCGT - Visayas 440MW
Source: naruto / ERC Mid-Merit Financial Model default (ADV model reviewed 9 Oct 2026); unchanged across cases. (A.25).</t>
      </text>
    </comment>
    <comment ref="X46" authorId="0" shapeId="0">
      <text>
        <t>Grace period from COD — Fin90, New-Build Gas Engine - Visayas 440MW
Source: naruto / ERC Mid-Merit Financial Model default (ADV model reviewed 9 Oct 2026); unchanged across cases. (A.25).</t>
      </text>
    </comment>
    <comment ref="Y46" authorId="0" shapeId="0">
      <text>
        <t>Grace period from COD — Fin90, New-Build CCGT - Visayas 500MW
Source: naruto / ERC Mid-Merit Financial Model default (ADV model reviewed 9 Oct 2026); unchanged across cases. (A.25).</t>
      </text>
    </comment>
    <comment ref="Z46" authorId="0" shapeId="0">
      <text>
        <t>Grace period from COD — Fin90, New-Build OCGT - Visayas 500MW
Source: naruto / ERC Mid-Merit Financial Model default (ADV model reviewed 9 Oct 2026); unchanged across cases. (A.25).</t>
      </text>
    </comment>
    <comment ref="AA46" authorId="0" shapeId="0">
      <text>
        <t>Grace period from COD — Fin90, New-Build Gas Engine - Visayas 500MW
Source: naruto / ERC Mid-Merit Financial Model default (ADV model reviewed 9 Oct 2026); unchanged across cases. (A.25).</t>
      </text>
    </comment>
    <comment ref="F47" authorId="0" shapeId="0">
      <text>
        <t>Debt service reserve — Fin42, Lot 1 Existing CCGT - Luzon
Source: naruto / ERC Mid-Merit Financial Model default (ADV model reviewed 9 Oct 2026); unchanged across cases.</t>
      </text>
    </comment>
    <comment ref="G47" authorId="0" shapeId="0">
      <text>
        <t>Debt service reserve — Fin42, Lot 2 Existing CCGT - Luzon
Source: naruto / ERC Mid-Merit Financial Model default (ADV model reviewed 9 Oct 2026); unchanged across cases.</t>
      </text>
    </comment>
    <comment ref="H47" authorId="0" shapeId="0">
      <text>
        <t>Debt service reserve — Fin42, New-Build CCGT - Luzon 1000MW
Source: naruto / ERC Mid-Merit Financial Model default (ADV model reviewed 9 Oct 2026); unchanged across cases.</t>
      </text>
    </comment>
    <comment ref="I47" authorId="0" shapeId="0">
      <text>
        <t>Debt service reserve — Fin42, New-Build OCGT - Luzon 1000MW
Source: naruto / ERC Mid-Merit Financial Model default (ADV model reviewed 9 Oct 2026); unchanged across cases.</t>
      </text>
    </comment>
    <comment ref="J47" authorId="0" shapeId="0">
      <text>
        <t>Debt service reserve — Fin42, New-Build Gas Engine - Luzon 1000MW
Source: naruto / ERC Mid-Merit Financial Model default (ADV model reviewed 9 Oct 2026); unchanged across cases.</t>
      </text>
    </comment>
    <comment ref="K47" authorId="0" shapeId="0">
      <text>
        <t>Debt service reserve — Fin42, New-Build CCGT - Visayas 440MW
Source: naruto / ERC Mid-Merit Financial Model default (ADV model reviewed 9 Oct 2026); unchanged across cases.</t>
      </text>
    </comment>
    <comment ref="L47" authorId="0" shapeId="0">
      <text>
        <t>Debt service reserve — Fin42, New-Build OCGT - Visayas 440MW
Source: naruto / ERC Mid-Merit Financial Model default (ADV model reviewed 9 Oct 2026); unchanged across cases.</t>
      </text>
    </comment>
    <comment ref="M47" authorId="0" shapeId="0">
      <text>
        <t>Debt service reserve — Fin42, New-Build Gas Engine - Visayas 440MW
Source: naruto / ERC Mid-Merit Financial Model default (ADV model reviewed 9 Oct 2026); unchanged across cases.</t>
      </text>
    </comment>
    <comment ref="N47" authorId="0" shapeId="0">
      <text>
        <t>Debt service reserve — Fin42, New-Build CCGT - Visayas 500MW
Source: naruto / ERC Mid-Merit Financial Model default (ADV model reviewed 9 Oct 2026); unchanged across cases.</t>
      </text>
    </comment>
    <comment ref="O47" authorId="0" shapeId="0">
      <text>
        <t>Debt service reserve — Fin42, New-Build OCGT - Visayas 500MW
Source: naruto / ERC Mid-Merit Financial Model default (ADV model reviewed 9 Oct 2026); unchanged across cases.</t>
      </text>
    </comment>
    <comment ref="P47" authorId="0" shapeId="0">
      <text>
        <t>Debt service reserve — Fin42, New-Build Gas Engine - Visayas 500MW
Source: naruto / ERC Mid-Merit Financial Model default (ADV model reviewed 9 Oct 2026); unchanged across cases.</t>
      </text>
    </comment>
    <comment ref="Q47" authorId="0" shapeId="0">
      <text>
        <t>Debt service reserve — Fin90, Lot 1 Existing CCGT - Luzon
Source: naruto / ERC Mid-Merit Financial Model default (ADV model reviewed 9 Oct 2026); unchanged across cases.</t>
      </text>
    </comment>
    <comment ref="R47" authorId="0" shapeId="0">
      <text>
        <t>Debt service reserve — Fin90, Lot 2 Existing CCGT - Luzon
Source: naruto / ERC Mid-Merit Financial Model default (ADV model reviewed 9 Oct 2026); unchanged across cases.</t>
      </text>
    </comment>
    <comment ref="S47" authorId="0" shapeId="0">
      <text>
        <t>Debt service reserve — Fin90, New-Build CCGT - Luzon 1000MW
Source: naruto / ERC Mid-Merit Financial Model default (ADV model reviewed 9 Oct 2026); unchanged across cases.</t>
      </text>
    </comment>
    <comment ref="T47" authorId="0" shapeId="0">
      <text>
        <t>Debt service reserve — Fin90, New-Build OCGT - Luzon 1000MW
Source: naruto / ERC Mid-Merit Financial Model default (ADV model reviewed 9 Oct 2026); unchanged across cases.</t>
      </text>
    </comment>
    <comment ref="U47" authorId="0" shapeId="0">
      <text>
        <t>Debt service reserve — Fin90, New-Build Gas Engine - Luzon 1000MW
Source: naruto / ERC Mid-Merit Financial Model default (ADV model reviewed 9 Oct 2026); unchanged across cases.</t>
      </text>
    </comment>
    <comment ref="V47" authorId="0" shapeId="0">
      <text>
        <t>Debt service reserve — Fin90, New-Build CCGT - Visayas 440MW
Source: naruto / ERC Mid-Merit Financial Model default (ADV model reviewed 9 Oct 2026); unchanged across cases.</t>
      </text>
    </comment>
    <comment ref="W47" authorId="0" shapeId="0">
      <text>
        <t>Debt service reserve — Fin90, New-Build OCGT - Visayas 440MW
Source: naruto / ERC Mid-Merit Financial Model default (ADV model reviewed 9 Oct 2026); unchanged across cases.</t>
      </text>
    </comment>
    <comment ref="X47" authorId="0" shapeId="0">
      <text>
        <t>Debt service reserve — Fin90, New-Build Gas Engine - Visayas 440MW
Source: naruto / ERC Mid-Merit Financial Model default (ADV model reviewed 9 Oct 2026); unchanged across cases.</t>
      </text>
    </comment>
    <comment ref="Y47" authorId="0" shapeId="0">
      <text>
        <t>Debt service reserve — Fin90, New-Build CCGT - Visayas 500MW
Source: naruto / ERC Mid-Merit Financial Model default (ADV model reviewed 9 Oct 2026); unchanged across cases.</t>
      </text>
    </comment>
    <comment ref="Z47" authorId="0" shapeId="0">
      <text>
        <t>Debt service reserve — Fin90, New-Build OCGT - Visayas 500MW
Source: naruto / ERC Mid-Merit Financial Model default (ADV model reviewed 9 Oct 2026); unchanged across cases.</t>
      </text>
    </comment>
    <comment ref="AA47" authorId="0" shapeId="0">
      <text>
        <t>Debt service reserve — Fin90, New-Build Gas Engine - Visayas 500MW
Source: naruto / ERC Mid-Merit Financial Model default (ADV model reviewed 9 Oct 2026); unchanged across cases.</t>
      </text>
    </comment>
    <comment ref="F48" authorId="0" shapeId="0">
      <text>
        <t>Upfront and financing fees — Fin42, Lot 1 Existing CCGT - Luzon
Source: naruto / ERC Mid-Merit Financial Model default (ADV model reviewed 9 Oct 2026); unchanged across cases.</t>
      </text>
    </comment>
    <comment ref="G48" authorId="0" shapeId="0">
      <text>
        <t>Upfront and financing fees — Fin42, Lot 2 Existing CCGT - Luzon
Source: naruto / ERC Mid-Merit Financial Model default (ADV model reviewed 9 Oct 2026); unchanged across cases.</t>
      </text>
    </comment>
    <comment ref="H48" authorId="0" shapeId="0">
      <text>
        <t>Upfront and financing fees — Fin42, New-Build CCGT - Luzon 1000MW
Source: naruto / ERC Mid-Merit Financial Model default (ADV model reviewed 9 Oct 2026); unchanged across cases.</t>
      </text>
    </comment>
    <comment ref="I48" authorId="0" shapeId="0">
      <text>
        <t>Upfront and financing fees — Fin42, New-Build OCGT - Luzon 1000MW
Source: naruto / ERC Mid-Merit Financial Model default (ADV model reviewed 9 Oct 2026); unchanged across cases.</t>
      </text>
    </comment>
    <comment ref="J48" authorId="0" shapeId="0">
      <text>
        <t>Upfront and financing fees — Fin42, New-Build Gas Engine - Luzon 1000MW
Source: naruto / ERC Mid-Merit Financial Model default (ADV model reviewed 9 Oct 2026); unchanged across cases.</t>
      </text>
    </comment>
    <comment ref="K48" authorId="0" shapeId="0">
      <text>
        <t>Upfront and financing fees — Fin42, New-Build CCGT - Visayas 440MW
Source: naruto / ERC Mid-Merit Financial Model default (ADV model reviewed 9 Oct 2026); unchanged across cases.</t>
      </text>
    </comment>
    <comment ref="L48" authorId="0" shapeId="0">
      <text>
        <t>Upfront and financing fees — Fin42, New-Build OCGT - Visayas 440MW
Source: naruto / ERC Mid-Merit Financial Model default (ADV model reviewed 9 Oct 2026); unchanged across cases.</t>
      </text>
    </comment>
    <comment ref="M48" authorId="0" shapeId="0">
      <text>
        <t>Upfront and financing fees — Fin42, New-Build Gas Engine - Visayas 440MW
Source: naruto / ERC Mid-Merit Financial Model default (ADV model reviewed 9 Oct 2026); unchanged across cases.</t>
      </text>
    </comment>
    <comment ref="N48" authorId="0" shapeId="0">
      <text>
        <t>Upfront and financing fees — Fin42, New-Build CCGT - Visayas 500MW
Source: naruto / ERC Mid-Merit Financial Model default (ADV model reviewed 9 Oct 2026); unchanged across cases.</t>
      </text>
    </comment>
    <comment ref="O48" authorId="0" shapeId="0">
      <text>
        <t>Upfront and financing fees — Fin42, New-Build OCGT - Visayas 500MW
Source: naruto / ERC Mid-Merit Financial Model default (ADV model reviewed 9 Oct 2026); unchanged across cases.</t>
      </text>
    </comment>
    <comment ref="P48" authorId="0" shapeId="0">
      <text>
        <t>Upfront and financing fees — Fin42, New-Build Gas Engine - Visayas 500MW
Source: naruto / ERC Mid-Merit Financial Model default (ADV model reviewed 9 Oct 2026); unchanged across cases.</t>
      </text>
    </comment>
    <comment ref="Q48" authorId="0" shapeId="0">
      <text>
        <t>Upfront and financing fees — Fin90, Lot 1 Existing CCGT - Luzon
Source: naruto / ERC Mid-Merit Financial Model default (ADV model reviewed 9 Oct 2026); unchanged across cases.</t>
      </text>
    </comment>
    <comment ref="R48" authorId="0" shapeId="0">
      <text>
        <t>Upfront and financing fees — Fin90, Lot 2 Existing CCGT - Luzon
Source: naruto / ERC Mid-Merit Financial Model default (ADV model reviewed 9 Oct 2026); unchanged across cases.</t>
      </text>
    </comment>
    <comment ref="S48" authorId="0" shapeId="0">
      <text>
        <t>Upfront and financing fees — Fin90, New-Build CCGT - Luzon 1000MW
Source: naruto / ERC Mid-Merit Financial Model default (ADV model reviewed 9 Oct 2026); unchanged across cases.</t>
      </text>
    </comment>
    <comment ref="T48" authorId="0" shapeId="0">
      <text>
        <t>Upfront and financing fees — Fin90, New-Build OCGT - Luzon 1000MW
Source: naruto / ERC Mid-Merit Financial Model default (ADV model reviewed 9 Oct 2026); unchanged across cases.</t>
      </text>
    </comment>
    <comment ref="U48" authorId="0" shapeId="0">
      <text>
        <t>Upfront and financing fees — Fin90, New-Build Gas Engine - Luzon 1000MW
Source: naruto / ERC Mid-Merit Financial Model default (ADV model reviewed 9 Oct 2026); unchanged across cases.</t>
      </text>
    </comment>
    <comment ref="V48" authorId="0" shapeId="0">
      <text>
        <t>Upfront and financing fees — Fin90, New-Build CCGT - Visayas 440MW
Source: naruto / ERC Mid-Merit Financial Model default (ADV model reviewed 9 Oct 2026); unchanged across cases.</t>
      </text>
    </comment>
    <comment ref="W48" authorId="0" shapeId="0">
      <text>
        <t>Upfront and financing fees — Fin90, New-Build OCGT - Visayas 440MW
Source: naruto / ERC Mid-Merit Financial Model default (ADV model reviewed 9 Oct 2026); unchanged across cases.</t>
      </text>
    </comment>
    <comment ref="X48" authorId="0" shapeId="0">
      <text>
        <t>Upfront and financing fees — Fin90, New-Build Gas Engine - Visayas 440MW
Source: naruto / ERC Mid-Merit Financial Model default (ADV model reviewed 9 Oct 2026); unchanged across cases.</t>
      </text>
    </comment>
    <comment ref="Y48" authorId="0" shapeId="0">
      <text>
        <t>Upfront and financing fees — Fin90, New-Build CCGT - Visayas 500MW
Source: naruto / ERC Mid-Merit Financial Model default (ADV model reviewed 9 Oct 2026); unchanged across cases.</t>
      </text>
    </comment>
    <comment ref="Z48" authorId="0" shapeId="0">
      <text>
        <t>Upfront and financing fees — Fin90, New-Build OCGT - Visayas 500MW
Source: naruto / ERC Mid-Merit Financial Model default (ADV model reviewed 9 Oct 2026); unchanged across cases.</t>
      </text>
    </comment>
    <comment ref="AA48" authorId="0" shapeId="0">
      <text>
        <t>Upfront and financing fees — Fin90, New-Build Gas Engine - Visayas 500MW
Source: naruto / ERC Mid-Merit Financial Model default (ADV model reviewed 9 Oct 2026); unchanged across cases.</t>
      </text>
    </comment>
    <comment ref="F49" authorId="0" shapeId="0">
      <text>
        <t>Commitment fees — Fin42, Lot 1 Existing CCGT - Luzon
Source: naruto / ERC Mid-Merit Financial Model default (ADV model reviewed 9 Oct 2026); unchanged across cases.</t>
      </text>
    </comment>
    <comment ref="G49" authorId="0" shapeId="0">
      <text>
        <t>Commitment fees — Fin42, Lot 2 Existing CCGT - Luzon
Source: naruto / ERC Mid-Merit Financial Model default (ADV model reviewed 9 Oct 2026); unchanged across cases.</t>
      </text>
    </comment>
    <comment ref="H49" authorId="0" shapeId="0">
      <text>
        <t>Commitment fees — Fin42, New-Build CCGT - Luzon 1000MW
Source: naruto / ERC Mid-Merit Financial Model default (ADV model reviewed 9 Oct 2026); unchanged across cases.</t>
      </text>
    </comment>
    <comment ref="I49" authorId="0" shapeId="0">
      <text>
        <t>Commitment fees — Fin42, New-Build OCGT - Luzon 1000MW
Source: naruto / ERC Mid-Merit Financial Model default (ADV model reviewed 9 Oct 2026); unchanged across cases.</t>
      </text>
    </comment>
    <comment ref="J49" authorId="0" shapeId="0">
      <text>
        <t>Commitment fees — Fin42, New-Build Gas Engine - Luzon 1000MW
Source: naruto / ERC Mid-Merit Financial Model default (ADV model reviewed 9 Oct 2026); unchanged across cases.</t>
      </text>
    </comment>
    <comment ref="K49" authorId="0" shapeId="0">
      <text>
        <t>Commitment fees — Fin42, New-Build CCGT - Visayas 440MW
Source: naruto / ERC Mid-Merit Financial Model default (ADV model reviewed 9 Oct 2026); unchanged across cases.</t>
      </text>
    </comment>
    <comment ref="L49" authorId="0" shapeId="0">
      <text>
        <t>Commitment fees — Fin42, New-Build OCGT - Visayas 440MW
Source: naruto / ERC Mid-Merit Financial Model default (ADV model reviewed 9 Oct 2026); unchanged across cases.</t>
      </text>
    </comment>
    <comment ref="M49" authorId="0" shapeId="0">
      <text>
        <t>Commitment fees — Fin42, New-Build Gas Engine - Visayas 440MW
Source: naruto / ERC Mid-Merit Financial Model default (ADV model reviewed 9 Oct 2026); unchanged across cases.</t>
      </text>
    </comment>
    <comment ref="N49" authorId="0" shapeId="0">
      <text>
        <t>Commitment fees — Fin42, New-Build CCGT - Visayas 500MW
Source: naruto / ERC Mid-Merit Financial Model default (ADV model reviewed 9 Oct 2026); unchanged across cases.</t>
      </text>
    </comment>
    <comment ref="O49" authorId="0" shapeId="0">
      <text>
        <t>Commitment fees — Fin42, New-Build OCGT - Visayas 500MW
Source: naruto / ERC Mid-Merit Financial Model default (ADV model reviewed 9 Oct 2026); unchanged across cases.</t>
      </text>
    </comment>
    <comment ref="P49" authorId="0" shapeId="0">
      <text>
        <t>Commitment fees — Fin42, New-Build Gas Engine - Visayas 500MW
Source: naruto / ERC Mid-Merit Financial Model default (ADV model reviewed 9 Oct 2026); unchanged across cases.</t>
      </text>
    </comment>
    <comment ref="Q49" authorId="0" shapeId="0">
      <text>
        <t>Commitment fees — Fin90, Lot 1 Existing CCGT - Luzon
Source: naruto / ERC Mid-Merit Financial Model default (ADV model reviewed 9 Oct 2026); unchanged across cases.</t>
      </text>
    </comment>
    <comment ref="R49" authorId="0" shapeId="0">
      <text>
        <t>Commitment fees — Fin90, Lot 2 Existing CCGT - Luzon
Source: naruto / ERC Mid-Merit Financial Model default (ADV model reviewed 9 Oct 2026); unchanged across cases.</t>
      </text>
    </comment>
    <comment ref="S49" authorId="0" shapeId="0">
      <text>
        <t>Commitment fees — Fin90, New-Build CCGT - Luzon 1000MW
Source: naruto / ERC Mid-Merit Financial Model default (ADV model reviewed 9 Oct 2026); unchanged across cases.</t>
      </text>
    </comment>
    <comment ref="T49" authorId="0" shapeId="0">
      <text>
        <t>Commitment fees — Fin90, New-Build OCGT - Luzon 1000MW
Source: naruto / ERC Mid-Merit Financial Model default (ADV model reviewed 9 Oct 2026); unchanged across cases.</t>
      </text>
    </comment>
    <comment ref="U49" authorId="0" shapeId="0">
      <text>
        <t>Commitment fees — Fin90, New-Build Gas Engine - Luzon 1000MW
Source: naruto / ERC Mid-Merit Financial Model default (ADV model reviewed 9 Oct 2026); unchanged across cases.</t>
      </text>
    </comment>
    <comment ref="V49" authorId="0" shapeId="0">
      <text>
        <t>Commitment fees — Fin90, New-Build CCGT - Visayas 440MW
Source: naruto / ERC Mid-Merit Financial Model default (ADV model reviewed 9 Oct 2026); unchanged across cases.</t>
      </text>
    </comment>
    <comment ref="W49" authorId="0" shapeId="0">
      <text>
        <t>Commitment fees — Fin90, New-Build OCGT - Visayas 440MW
Source: naruto / ERC Mid-Merit Financial Model default (ADV model reviewed 9 Oct 2026); unchanged across cases.</t>
      </text>
    </comment>
    <comment ref="X49" authorId="0" shapeId="0">
      <text>
        <t>Commitment fees — Fin90, New-Build Gas Engine - Visayas 440MW
Source: naruto / ERC Mid-Merit Financial Model default (ADV model reviewed 9 Oct 2026); unchanged across cases.</t>
      </text>
    </comment>
    <comment ref="Y49" authorId="0" shapeId="0">
      <text>
        <t>Commitment fees — Fin90, New-Build CCGT - Visayas 500MW
Source: naruto / ERC Mid-Merit Financial Model default (ADV model reviewed 9 Oct 2026); unchanged across cases.</t>
      </text>
    </comment>
    <comment ref="Z49" authorId="0" shapeId="0">
      <text>
        <t>Commitment fees — Fin90, New-Build OCGT - Visayas 500MW
Source: naruto / ERC Mid-Merit Financial Model default (ADV model reviewed 9 Oct 2026); unchanged across cases.</t>
      </text>
    </comment>
    <comment ref="AA49" authorId="0" shapeId="0">
      <text>
        <t>Commitment fees — Fin90, New-Build Gas Engine - Visayas 500MW
Source: naruto / ERC Mid-Merit Financial Model default (ADV model reviewed 9 Oct 2026); unchanged across cases.</t>
      </text>
    </comment>
    <comment ref="F50" authorId="0" shapeId="0">
      <text>
        <t>Required equity return (Re) — Fin42, Lot 1 Existing CCGT - Luzon
Source: 14% nominal (draft Resolution 2, A.12; CAPM range 12%–14%).</t>
      </text>
    </comment>
    <comment ref="G50" authorId="0" shapeId="0">
      <text>
        <t>Required equity return (Re) — Fin42, Lot 2 Existing CCGT - Luzon
Source: 14% nominal (draft Resolution 2, A.12; CAPM range 12%–14%).</t>
      </text>
    </comment>
    <comment ref="H50" authorId="0" shapeId="0">
      <text>
        <t>Required equity return (Re) — Fin42, New-Build CCGT - Luzon 1000MW
Source: 14% nominal (draft Resolution 2, A.12; CAPM range 12%–14%).</t>
      </text>
    </comment>
    <comment ref="I50" authorId="0" shapeId="0">
      <text>
        <t>Required equity return (Re) — Fin42, New-Build OCGT - Luzon 1000MW
Source: 14% nominal (draft Resolution 2, A.12; CAPM range 12%–14%).</t>
      </text>
    </comment>
    <comment ref="J50" authorId="0" shapeId="0">
      <text>
        <t>Required equity return (Re) — Fin42, New-Build Gas Engine - Luzon 1000MW
Source: 14% nominal (draft Resolution 2, A.12; CAPM range 12%–14%).</t>
      </text>
    </comment>
    <comment ref="K50" authorId="0" shapeId="0">
      <text>
        <t>Required equity return (Re) — Fin42, New-Build CCGT - Visayas 440MW
Source: 14% nominal (draft Resolution 2, A.12; CAPM range 12%–14%).</t>
      </text>
    </comment>
    <comment ref="L50" authorId="0" shapeId="0">
      <text>
        <t>Required equity return (Re) — Fin42, New-Build OCGT - Visayas 440MW
Source: 14% nominal (draft Resolution 2, A.12; CAPM range 12%–14%).</t>
      </text>
    </comment>
    <comment ref="M50" authorId="0" shapeId="0">
      <text>
        <t>Required equity return (Re) — Fin42, New-Build Gas Engine - Visayas 440MW
Source: 14% nominal (draft Resolution 2, A.12; CAPM range 12%–14%).</t>
      </text>
    </comment>
    <comment ref="N50" authorId="0" shapeId="0">
      <text>
        <t>Required equity return (Re) — Fin42, New-Build CCGT - Visayas 500MW
Source: 14% nominal (draft Resolution 2, A.12; CAPM range 12%–14%).</t>
      </text>
    </comment>
    <comment ref="O50" authorId="0" shapeId="0">
      <text>
        <t>Required equity return (Re) — Fin42, New-Build OCGT - Visayas 500MW
Source: 14% nominal (draft Resolution 2, A.12; CAPM range 12%–14%).</t>
      </text>
    </comment>
    <comment ref="P50" authorId="0" shapeId="0">
      <text>
        <t>Required equity return (Re) — Fin42, New-Build Gas Engine - Visayas 500MW
Source: 14% nominal (draft Resolution 2, A.12; CAPM range 12%–14%).</t>
      </text>
    </comment>
    <comment ref="Q50" authorId="0" shapeId="0">
      <text>
        <t>Required equity return (Re) — Fin90, Lot 1 Existing CCGT - Luzon
Source: 14% nominal (draft Resolution 2, A.12; CAPM range 12%–14%).</t>
      </text>
    </comment>
    <comment ref="R50" authorId="0" shapeId="0">
      <text>
        <t>Required equity return (Re) — Fin90, Lot 2 Existing CCGT - Luzon
Source: 14% nominal (draft Resolution 2, A.12; CAPM range 12%–14%).</t>
      </text>
    </comment>
    <comment ref="S50" authorId="0" shapeId="0">
      <text>
        <t>Required equity return (Re) — Fin90, New-Build CCGT - Luzon 1000MW
Source: 14% nominal (draft Resolution 2, A.12; CAPM range 12%–14%).</t>
      </text>
    </comment>
    <comment ref="T50" authorId="0" shapeId="0">
      <text>
        <t>Required equity return (Re) — Fin90, New-Build OCGT - Luzon 1000MW
Source: 14% nominal (draft Resolution 2, A.12; CAPM range 12%–14%).</t>
      </text>
    </comment>
    <comment ref="U50" authorId="0" shapeId="0">
      <text>
        <t>Required equity return (Re) — Fin90, New-Build Gas Engine - Luzon 1000MW
Source: 14% nominal (draft Resolution 2, A.12; CAPM range 12%–14%).</t>
      </text>
    </comment>
    <comment ref="V50" authorId="0" shapeId="0">
      <text>
        <t>Required equity return (Re) — Fin90, New-Build CCGT - Visayas 440MW
Source: 14% nominal (draft Resolution 2, A.12; CAPM range 12%–14%).</t>
      </text>
    </comment>
    <comment ref="W50" authorId="0" shapeId="0">
      <text>
        <t>Required equity return (Re) — Fin90, New-Build OCGT - Visayas 440MW
Source: 14% nominal (draft Resolution 2, A.12; CAPM range 12%–14%).</t>
      </text>
    </comment>
    <comment ref="X50" authorId="0" shapeId="0">
      <text>
        <t>Required equity return (Re) — Fin90, New-Build Gas Engine - Visayas 440MW
Source: 14% nominal (draft Resolution 2, A.12; CAPM range 12%–14%).</t>
      </text>
    </comment>
    <comment ref="Y50" authorId="0" shapeId="0">
      <text>
        <t>Required equity return (Re) — Fin90, New-Build CCGT - Visayas 500MW
Source: 14% nominal (draft Resolution 2, A.12; CAPM range 12%–14%).</t>
      </text>
    </comment>
    <comment ref="Z50" authorId="0" shapeId="0">
      <text>
        <t>Required equity return (Re) — Fin90, New-Build OCGT - Visayas 500MW
Source: 14% nominal (draft Resolution 2, A.12; CAPM range 12%–14%).</t>
      </text>
    </comment>
    <comment ref="AA50" authorId="0" shapeId="0">
      <text>
        <t>Required equity return (Re) — Fin90, New-Build Gas Engine - Visayas 500MW
Source: 14% nominal (draft Resolution 2, A.12; CAPM range 12%–14%).</t>
      </text>
    </comment>
    <comment ref="F51" authorId="0" shapeId="0">
      <text>
        <t>Pre-tax WACC (check) — Fin42, Lot 1 Existing CCGT - Luzon
Source: Model result (reference check, GAIR 8.8.8).</t>
      </text>
    </comment>
    <comment ref="G51" authorId="0" shapeId="0">
      <text>
        <t>Pre-tax WACC (check) — Fin42, Lot 2 Existing CCGT - Luzon
Source: Model result (reference check, GAIR 8.8.8).</t>
      </text>
    </comment>
    <comment ref="H51" authorId="0" shapeId="0">
      <text>
        <t>Pre-tax WACC (check) — Fin42, New-Build CCGT - Luzon 1000MW
Source: Model result (reference check, GAIR 8.8.8).</t>
      </text>
    </comment>
    <comment ref="I51" authorId="0" shapeId="0">
      <text>
        <t>Pre-tax WACC (check) — Fin42, New-Build OCGT - Luzon 1000MW
Source: Model result (reference check, GAIR 8.8.8).</t>
      </text>
    </comment>
    <comment ref="J51" authorId="0" shapeId="0">
      <text>
        <t>Pre-tax WACC (check) — Fin42, New-Build Gas Engine - Luzon 1000MW
Source: Model result (reference check, GAIR 8.8.8).</t>
      </text>
    </comment>
    <comment ref="K51" authorId="0" shapeId="0">
      <text>
        <t>Pre-tax WACC (check) — Fin42, New-Build CCGT - Visayas 440MW
Source: Model result (reference check, GAIR 8.8.8).</t>
      </text>
    </comment>
    <comment ref="L51" authorId="0" shapeId="0">
      <text>
        <t>Pre-tax WACC (check) — Fin42, New-Build OCGT - Visayas 440MW
Source: Model result (reference check, GAIR 8.8.8).</t>
      </text>
    </comment>
    <comment ref="M51" authorId="0" shapeId="0">
      <text>
        <t>Pre-tax WACC (check) — Fin42, New-Build Gas Engine - Visayas 440MW
Source: Model result (reference check, GAIR 8.8.8).</t>
      </text>
    </comment>
    <comment ref="N51" authorId="0" shapeId="0">
      <text>
        <t>Pre-tax WACC (check) — Fin42, New-Build CCGT - Visayas 500MW
Source: Model result (reference check, GAIR 8.8.8).</t>
      </text>
    </comment>
    <comment ref="O51" authorId="0" shapeId="0">
      <text>
        <t>Pre-tax WACC (check) — Fin42, New-Build OCGT - Visayas 500MW
Source: Model result (reference check, GAIR 8.8.8).</t>
      </text>
    </comment>
    <comment ref="P51" authorId="0" shapeId="0">
      <text>
        <t>Pre-tax WACC (check) — Fin42, New-Build Gas Engine - Visayas 500MW
Source: Model result (reference check, GAIR 8.8.8).</t>
      </text>
    </comment>
    <comment ref="Q51" authorId="0" shapeId="0">
      <text>
        <t>Pre-tax WACC (check) — Fin90, Lot 1 Existing CCGT - Luzon
Source: Model result (reference check, GAIR 8.8.8).</t>
      </text>
    </comment>
    <comment ref="R51" authorId="0" shapeId="0">
      <text>
        <t>Pre-tax WACC (check) — Fin90, Lot 2 Existing CCGT - Luzon
Source: Model result (reference check, GAIR 8.8.8).</t>
      </text>
    </comment>
    <comment ref="S51" authorId="0" shapeId="0">
      <text>
        <t>Pre-tax WACC (check) — Fin90, New-Build CCGT - Luzon 1000MW
Source: Model result (reference check, GAIR 8.8.8).</t>
      </text>
    </comment>
    <comment ref="T51" authorId="0" shapeId="0">
      <text>
        <t>Pre-tax WACC (check) — Fin90, New-Build OCGT - Luzon 1000MW
Source: Model result (reference check, GAIR 8.8.8).</t>
      </text>
    </comment>
    <comment ref="U51" authorId="0" shapeId="0">
      <text>
        <t>Pre-tax WACC (check) — Fin90, New-Build Gas Engine - Luzon 1000MW
Source: Model result (reference check, GAIR 8.8.8).</t>
      </text>
    </comment>
    <comment ref="V51" authorId="0" shapeId="0">
      <text>
        <t>Pre-tax WACC (check) — Fin90, New-Build CCGT - Visayas 440MW
Source: Model result (reference check, GAIR 8.8.8).</t>
      </text>
    </comment>
    <comment ref="W51" authorId="0" shapeId="0">
      <text>
        <t>Pre-tax WACC (check) — Fin90, New-Build OCGT - Visayas 440MW
Source: Model result (reference check, GAIR 8.8.8).</t>
      </text>
    </comment>
    <comment ref="X51" authorId="0" shapeId="0">
      <text>
        <t>Pre-tax WACC (check) — Fin90, New-Build Gas Engine - Visayas 440MW
Source: Model result (reference check, GAIR 8.8.8).</t>
      </text>
    </comment>
    <comment ref="Y51" authorId="0" shapeId="0">
      <text>
        <t>Pre-tax WACC (check) — Fin90, New-Build CCGT - Visayas 500MW
Source: Model result (reference check, GAIR 8.8.8).</t>
      </text>
    </comment>
    <comment ref="Z51" authorId="0" shapeId="0">
      <text>
        <t>Pre-tax WACC (check) — Fin90, New-Build OCGT - Visayas 500MW
Source: Model result (reference check, GAIR 8.8.8).</t>
      </text>
    </comment>
    <comment ref="AA51" authorId="0" shapeId="0">
      <text>
        <t>Pre-tax WACC (check) — Fin90, New-Build Gas Engine - Visayas 500MW
Source: Model result (reference check, GAIR 8.8.8).</t>
      </text>
    </comment>
    <comment ref="F53" authorId="0" shapeId="0">
      <text>
        <t>VAT on importation of equipment — Fin42, Lot 1 Existing CCGT - Luzon
Source: 12% VAT (NIRC Sec. 107).</t>
      </text>
    </comment>
    <comment ref="G53" authorId="0" shapeId="0">
      <text>
        <t>VAT on importation of equipment — Fin42, Lot 2 Existing CCGT - Luzon
Source: 12% VAT (NIRC Sec. 107).</t>
      </text>
    </comment>
    <comment ref="H53" authorId="0" shapeId="0">
      <text>
        <t>VAT on importation of equipment — Fin42, New-Build CCGT - Luzon 1000MW
Source: 12% VAT (NIRC Sec. 107).</t>
      </text>
    </comment>
    <comment ref="I53" authorId="0" shapeId="0">
      <text>
        <t>VAT on importation of equipment — Fin42, New-Build OCGT - Luzon 1000MW
Source: 12% VAT (NIRC Sec. 107).</t>
      </text>
    </comment>
    <comment ref="J53" authorId="0" shapeId="0">
      <text>
        <t>VAT on importation of equipment — Fin42, New-Build Gas Engine - Luzon 1000MW
Source: 12% VAT (NIRC Sec. 107).</t>
      </text>
    </comment>
    <comment ref="K53" authorId="0" shapeId="0">
      <text>
        <t>VAT on importation of equipment — Fin42, New-Build CCGT - Visayas 440MW
Source: 12% VAT (NIRC Sec. 107).</t>
      </text>
    </comment>
    <comment ref="L53" authorId="0" shapeId="0">
      <text>
        <t>VAT on importation of equipment — Fin42, New-Build OCGT - Visayas 440MW
Source: 12% VAT (NIRC Sec. 107).</t>
      </text>
    </comment>
    <comment ref="M53" authorId="0" shapeId="0">
      <text>
        <t>VAT on importation of equipment — Fin42, New-Build Gas Engine - Visayas 440MW
Source: 12% VAT (NIRC Sec. 107).</t>
      </text>
    </comment>
    <comment ref="N53" authorId="0" shapeId="0">
      <text>
        <t>VAT on importation of equipment — Fin42, New-Build CCGT - Visayas 500MW
Source: 12% VAT (NIRC Sec. 107).</t>
      </text>
    </comment>
    <comment ref="O53" authorId="0" shapeId="0">
      <text>
        <t>VAT on importation of equipment — Fin42, New-Build OCGT - Visayas 500MW
Source: 12% VAT (NIRC Sec. 107).</t>
      </text>
    </comment>
    <comment ref="P53" authorId="0" shapeId="0">
      <text>
        <t>VAT on importation of equipment — Fin42, New-Build Gas Engine - Visayas 500MW
Source: 12% VAT (NIRC Sec. 107).</t>
      </text>
    </comment>
    <comment ref="Q53" authorId="0" shapeId="0">
      <text>
        <t>VAT on importation of equipment — Fin90, Lot 1 Existing CCGT - Luzon
Source: 12% VAT (NIRC Sec. 107).</t>
      </text>
    </comment>
    <comment ref="R53" authorId="0" shapeId="0">
      <text>
        <t>VAT on importation of equipment — Fin90, Lot 2 Existing CCGT - Luzon
Source: 12% VAT (NIRC Sec. 107).</t>
      </text>
    </comment>
    <comment ref="S53" authorId="0" shapeId="0">
      <text>
        <t>VAT on importation of equipment — Fin90, New-Build CCGT - Luzon 1000MW
Source: 12% VAT (NIRC Sec. 107).</t>
      </text>
    </comment>
    <comment ref="T53" authorId="0" shapeId="0">
      <text>
        <t>VAT on importation of equipment — Fin90, New-Build OCGT - Luzon 1000MW
Source: 12% VAT (NIRC Sec. 107).</t>
      </text>
    </comment>
    <comment ref="U53" authorId="0" shapeId="0">
      <text>
        <t>VAT on importation of equipment — Fin90, New-Build Gas Engine - Luzon 1000MW
Source: 12% VAT (NIRC Sec. 107).</t>
      </text>
    </comment>
    <comment ref="V53" authorId="0" shapeId="0">
      <text>
        <t>VAT on importation of equipment — Fin90, New-Build CCGT - Visayas 440MW
Source: 12% VAT (NIRC Sec. 107).</t>
      </text>
    </comment>
    <comment ref="W53" authorId="0" shapeId="0">
      <text>
        <t>VAT on importation of equipment — Fin90, New-Build OCGT - Visayas 440MW
Source: 12% VAT (NIRC Sec. 107).</t>
      </text>
    </comment>
    <comment ref="X53" authorId="0" shapeId="0">
      <text>
        <t>VAT on importation of equipment — Fin90, New-Build Gas Engine - Visayas 440MW
Source: 12% VAT (NIRC Sec. 107).</t>
      </text>
    </comment>
    <comment ref="Y53" authorId="0" shapeId="0">
      <text>
        <t>VAT on importation of equipment — Fin90, New-Build CCGT - Visayas 500MW
Source: 12% VAT (NIRC Sec. 107).</t>
      </text>
    </comment>
    <comment ref="Z53" authorId="0" shapeId="0">
      <text>
        <t>VAT on importation of equipment — Fin90, New-Build OCGT - Visayas 500MW
Source: 12% VAT (NIRC Sec. 107).</t>
      </text>
    </comment>
    <comment ref="AA53" authorId="0" shapeId="0">
      <text>
        <t>VAT on importation of equipment — Fin90, New-Build Gas Engine - Visayas 500MW
Source: 12% VAT (NIRC Sec. 107).</t>
      </text>
    </comment>
    <comment ref="F54" authorId="0" shapeId="0">
      <text>
        <t>Customs duty — Fin42, Lot 1 Existing CCGT - Luzon
Source: naruto / ERC Mid-Merit Financial Model default (ADV model reviewed 9 Oct 2026); unchanged across cases.</t>
      </text>
    </comment>
    <comment ref="G54" authorId="0" shapeId="0">
      <text>
        <t>Customs duty — Fin42, Lot 2 Existing CCGT - Luzon
Source: naruto / ERC Mid-Merit Financial Model default (ADV model reviewed 9 Oct 2026); unchanged across cases.</t>
      </text>
    </comment>
    <comment ref="H54" authorId="0" shapeId="0">
      <text>
        <t>Customs duty — Fin42, New-Build CCGT - Luzon 1000MW
Source: naruto / ERC Mid-Merit Financial Model default (ADV model reviewed 9 Oct 2026); unchanged across cases.</t>
      </text>
    </comment>
    <comment ref="I54" authorId="0" shapeId="0">
      <text>
        <t>Customs duty — Fin42, New-Build OCGT - Luzon 1000MW
Source: naruto / ERC Mid-Merit Financial Model default (ADV model reviewed 9 Oct 2026); unchanged across cases.</t>
      </text>
    </comment>
    <comment ref="J54" authorId="0" shapeId="0">
      <text>
        <t>Customs duty — Fin42, New-Build Gas Engine - Luzon 1000MW
Source: naruto / ERC Mid-Merit Financial Model default (ADV model reviewed 9 Oct 2026); unchanged across cases.</t>
      </text>
    </comment>
    <comment ref="K54" authorId="0" shapeId="0">
      <text>
        <t>Customs duty — Fin42, New-Build CCGT - Visayas 440MW
Source: naruto / ERC Mid-Merit Financial Model default (ADV model reviewed 9 Oct 2026); unchanged across cases.</t>
      </text>
    </comment>
    <comment ref="L54" authorId="0" shapeId="0">
      <text>
        <t>Customs duty — Fin42, New-Build OCGT - Visayas 440MW
Source: naruto / ERC Mid-Merit Financial Model default (ADV model reviewed 9 Oct 2026); unchanged across cases.</t>
      </text>
    </comment>
    <comment ref="M54" authorId="0" shapeId="0">
      <text>
        <t>Customs duty — Fin42, New-Build Gas Engine - Visayas 440MW
Source: naruto / ERC Mid-Merit Financial Model default (ADV model reviewed 9 Oct 2026); unchanged across cases.</t>
      </text>
    </comment>
    <comment ref="N54" authorId="0" shapeId="0">
      <text>
        <t>Customs duty — Fin42, New-Build CCGT - Visayas 500MW
Source: naruto / ERC Mid-Merit Financial Model default (ADV model reviewed 9 Oct 2026); unchanged across cases.</t>
      </text>
    </comment>
    <comment ref="O54" authorId="0" shapeId="0">
      <text>
        <t>Customs duty — Fin42, New-Build OCGT - Visayas 500MW
Source: naruto / ERC Mid-Merit Financial Model default (ADV model reviewed 9 Oct 2026); unchanged across cases.</t>
      </text>
    </comment>
    <comment ref="P54" authorId="0" shapeId="0">
      <text>
        <t>Customs duty — Fin42, New-Build Gas Engine - Visayas 500MW
Source: naruto / ERC Mid-Merit Financial Model default (ADV model reviewed 9 Oct 2026); unchanged across cases.</t>
      </text>
    </comment>
    <comment ref="Q54" authorId="0" shapeId="0">
      <text>
        <t>Customs duty — Fin90, Lot 1 Existing CCGT - Luzon
Source: naruto / ERC Mid-Merit Financial Model default (ADV model reviewed 9 Oct 2026); unchanged across cases.</t>
      </text>
    </comment>
    <comment ref="R54" authorId="0" shapeId="0">
      <text>
        <t>Customs duty — Fin90, Lot 2 Existing CCGT - Luzon
Source: naruto / ERC Mid-Merit Financial Model default (ADV model reviewed 9 Oct 2026); unchanged across cases.</t>
      </text>
    </comment>
    <comment ref="S54" authorId="0" shapeId="0">
      <text>
        <t>Customs duty — Fin90, New-Build CCGT - Luzon 1000MW
Source: naruto / ERC Mid-Merit Financial Model default (ADV model reviewed 9 Oct 2026); unchanged across cases.</t>
      </text>
    </comment>
    <comment ref="T54" authorId="0" shapeId="0">
      <text>
        <t>Customs duty — Fin90, New-Build OCGT - Luzon 1000MW
Source: naruto / ERC Mid-Merit Financial Model default (ADV model reviewed 9 Oct 2026); unchanged across cases.</t>
      </text>
    </comment>
    <comment ref="U54" authorId="0" shapeId="0">
      <text>
        <t>Customs duty — Fin90, New-Build Gas Engine - Luzon 1000MW
Source: naruto / ERC Mid-Merit Financial Model default (ADV model reviewed 9 Oct 2026); unchanged across cases.</t>
      </text>
    </comment>
    <comment ref="V54" authorId="0" shapeId="0">
      <text>
        <t>Customs duty — Fin90, New-Build CCGT - Visayas 440MW
Source: naruto / ERC Mid-Merit Financial Model default (ADV model reviewed 9 Oct 2026); unchanged across cases.</t>
      </text>
    </comment>
    <comment ref="W54" authorId="0" shapeId="0">
      <text>
        <t>Customs duty — Fin90, New-Build OCGT - Visayas 440MW
Source: naruto / ERC Mid-Merit Financial Model default (ADV model reviewed 9 Oct 2026); unchanged across cases.</t>
      </text>
    </comment>
    <comment ref="X54" authorId="0" shapeId="0">
      <text>
        <t>Customs duty — Fin90, New-Build Gas Engine - Visayas 440MW
Source: naruto / ERC Mid-Merit Financial Model default (ADV model reviewed 9 Oct 2026); unchanged across cases.</t>
      </text>
    </comment>
    <comment ref="Y54" authorId="0" shapeId="0">
      <text>
        <t>Customs duty — Fin90, New-Build CCGT - Visayas 500MW
Source: naruto / ERC Mid-Merit Financial Model default (ADV model reviewed 9 Oct 2026); unchanged across cases.</t>
      </text>
    </comment>
    <comment ref="Z54" authorId="0" shapeId="0">
      <text>
        <t>Customs duty — Fin90, New-Build OCGT - Visayas 500MW
Source: naruto / ERC Mid-Merit Financial Model default (ADV model reviewed 9 Oct 2026); unchanged across cases.</t>
      </text>
    </comment>
    <comment ref="AA54" authorId="0" shapeId="0">
      <text>
        <t>Customs duty — Fin90, New-Build Gas Engine - Visayas 500MW
Source: naruto / ERC Mid-Merit Financial Model default (ADV model reviewed 9 Oct 2026); unchanged across cases.</t>
      </text>
    </comment>
    <comment ref="F55" authorId="0" shapeId="0">
      <text>
        <t>VAT recovery — Fin42, Lot 1 Existing CCGT - Luzon
Source: naruto / ERC Mid-Merit Financial Model default (ADV model reviewed 9 Oct 2026); unchanged across cases.</t>
      </text>
    </comment>
    <comment ref="G55" authorId="0" shapeId="0">
      <text>
        <t>VAT recovery — Fin42, Lot 2 Existing CCGT - Luzon
Source: naruto / ERC Mid-Merit Financial Model default (ADV model reviewed 9 Oct 2026); unchanged across cases.</t>
      </text>
    </comment>
    <comment ref="H55" authorId="0" shapeId="0">
      <text>
        <t>VAT recovery — Fin42, New-Build CCGT - Luzon 1000MW
Source: naruto / ERC Mid-Merit Financial Model default (ADV model reviewed 9 Oct 2026); unchanged across cases.</t>
      </text>
    </comment>
    <comment ref="I55" authorId="0" shapeId="0">
      <text>
        <t>VAT recovery — Fin42, New-Build OCGT - Luzon 1000MW
Source: naruto / ERC Mid-Merit Financial Model default (ADV model reviewed 9 Oct 2026); unchanged across cases.</t>
      </text>
    </comment>
    <comment ref="J55" authorId="0" shapeId="0">
      <text>
        <t>VAT recovery — Fin42, New-Build Gas Engine - Luzon 1000MW
Source: naruto / ERC Mid-Merit Financial Model default (ADV model reviewed 9 Oct 2026); unchanged across cases.</t>
      </text>
    </comment>
    <comment ref="K55" authorId="0" shapeId="0">
      <text>
        <t>VAT recovery — Fin42, New-Build CCGT - Visayas 440MW
Source: naruto / ERC Mid-Merit Financial Model default (ADV model reviewed 9 Oct 2026); unchanged across cases.</t>
      </text>
    </comment>
    <comment ref="L55" authorId="0" shapeId="0">
      <text>
        <t>VAT recovery — Fin42, New-Build OCGT - Visayas 440MW
Source: naruto / ERC Mid-Merit Financial Model default (ADV model reviewed 9 Oct 2026); unchanged across cases.</t>
      </text>
    </comment>
    <comment ref="M55" authorId="0" shapeId="0">
      <text>
        <t>VAT recovery — Fin42, New-Build Gas Engine - Visayas 440MW
Source: naruto / ERC Mid-Merit Financial Model default (ADV model reviewed 9 Oct 2026); unchanged across cases.</t>
      </text>
    </comment>
    <comment ref="N55" authorId="0" shapeId="0">
      <text>
        <t>VAT recovery — Fin42, New-Build CCGT - Visayas 500MW
Source: naruto / ERC Mid-Merit Financial Model default (ADV model reviewed 9 Oct 2026); unchanged across cases.</t>
      </text>
    </comment>
    <comment ref="O55" authorId="0" shapeId="0">
      <text>
        <t>VAT recovery — Fin42, New-Build OCGT - Visayas 500MW
Source: naruto / ERC Mid-Merit Financial Model default (ADV model reviewed 9 Oct 2026); unchanged across cases.</t>
      </text>
    </comment>
    <comment ref="P55" authorId="0" shapeId="0">
      <text>
        <t>VAT recovery — Fin42, New-Build Gas Engine - Visayas 500MW
Source: naruto / ERC Mid-Merit Financial Model default (ADV model reviewed 9 Oct 2026); unchanged across cases.</t>
      </text>
    </comment>
    <comment ref="Q55" authorId="0" shapeId="0">
      <text>
        <t>VAT recovery — Fin90, Lot 1 Existing CCGT - Luzon
Source: naruto / ERC Mid-Merit Financial Model default (ADV model reviewed 9 Oct 2026); unchanged across cases.</t>
      </text>
    </comment>
    <comment ref="R55" authorId="0" shapeId="0">
      <text>
        <t>VAT recovery — Fin90, Lot 2 Existing CCGT - Luzon
Source: naruto / ERC Mid-Merit Financial Model default (ADV model reviewed 9 Oct 2026); unchanged across cases.</t>
      </text>
    </comment>
    <comment ref="S55" authorId="0" shapeId="0">
      <text>
        <t>VAT recovery — Fin90, New-Build CCGT - Luzon 1000MW
Source: naruto / ERC Mid-Merit Financial Model default (ADV model reviewed 9 Oct 2026); unchanged across cases.</t>
      </text>
    </comment>
    <comment ref="T55" authorId="0" shapeId="0">
      <text>
        <t>VAT recovery — Fin90, New-Build OCGT - Luzon 1000MW
Source: naruto / ERC Mid-Merit Financial Model default (ADV model reviewed 9 Oct 2026); unchanged across cases.</t>
      </text>
    </comment>
    <comment ref="U55" authorId="0" shapeId="0">
      <text>
        <t>VAT recovery — Fin90, New-Build Gas Engine - Luzon 1000MW
Source: naruto / ERC Mid-Merit Financial Model default (ADV model reviewed 9 Oct 2026); unchanged across cases.</t>
      </text>
    </comment>
    <comment ref="V55" authorId="0" shapeId="0">
      <text>
        <t>VAT recovery — Fin90, New-Build CCGT - Visayas 440MW
Source: naruto / ERC Mid-Merit Financial Model default (ADV model reviewed 9 Oct 2026); unchanged across cases.</t>
      </text>
    </comment>
    <comment ref="W55" authorId="0" shapeId="0">
      <text>
        <t>VAT recovery — Fin90, New-Build OCGT - Visayas 440MW
Source: naruto / ERC Mid-Merit Financial Model default (ADV model reviewed 9 Oct 2026); unchanged across cases.</t>
      </text>
    </comment>
    <comment ref="X55" authorId="0" shapeId="0">
      <text>
        <t>VAT recovery — Fin90, New-Build Gas Engine - Visayas 440MW
Source: naruto / ERC Mid-Merit Financial Model default (ADV model reviewed 9 Oct 2026); unchanged across cases.</t>
      </text>
    </comment>
    <comment ref="Y55" authorId="0" shapeId="0">
      <text>
        <t>VAT recovery — Fin90, New-Build CCGT - Visayas 500MW
Source: naruto / ERC Mid-Merit Financial Model default (ADV model reviewed 9 Oct 2026); unchanged across cases.</t>
      </text>
    </comment>
    <comment ref="Z55" authorId="0" shapeId="0">
      <text>
        <t>VAT recovery — Fin90, New-Build OCGT - Visayas 500MW
Source: naruto / ERC Mid-Merit Financial Model default (ADV model reviewed 9 Oct 2026); unchanged across cases.</t>
      </text>
    </comment>
    <comment ref="AA55" authorId="0" shapeId="0">
      <text>
        <t>VAT recovery — Fin90, New-Build Gas Engine - Visayas 500MW
Source: naruto / ERC Mid-Merit Financial Model default (ADV model reviewed 9 Oct 2026); unchanged across cases.</t>
      </text>
    </comment>
    <comment ref="F56" authorId="0" shapeId="0">
      <text>
        <t>Timing of VAT recovery — Fin42, Lot 1 Existing CCGT - Luzon
Source: naruto / ERC Mid-Merit Financial Model default (ADV model reviewed 9 Oct 2026); unchanged across cases.</t>
      </text>
    </comment>
    <comment ref="G56" authorId="0" shapeId="0">
      <text>
        <t>Timing of VAT recovery — Fin42, Lot 2 Existing CCGT - Luzon
Source: naruto / ERC Mid-Merit Financial Model default (ADV model reviewed 9 Oct 2026); unchanged across cases.</t>
      </text>
    </comment>
    <comment ref="H56" authorId="0" shapeId="0">
      <text>
        <t>Timing of VAT recovery — Fin42, New-Build CCGT - Luzon 1000MW
Source: naruto / ERC Mid-Merit Financial Model default (ADV model reviewed 9 Oct 2026); unchanged across cases.</t>
      </text>
    </comment>
    <comment ref="I56" authorId="0" shapeId="0">
      <text>
        <t>Timing of VAT recovery — Fin42, New-Build OCGT - Luzon 1000MW
Source: naruto / ERC Mid-Merit Financial Model default (ADV model reviewed 9 Oct 2026); unchanged across cases.</t>
      </text>
    </comment>
    <comment ref="J56" authorId="0" shapeId="0">
      <text>
        <t>Timing of VAT recovery — Fin42, New-Build Gas Engine - Luzon 1000MW
Source: naruto / ERC Mid-Merit Financial Model default (ADV model reviewed 9 Oct 2026); unchanged across cases.</t>
      </text>
    </comment>
    <comment ref="K56" authorId="0" shapeId="0">
      <text>
        <t>Timing of VAT recovery — Fin42, New-Build CCGT - Visayas 440MW
Source: naruto / ERC Mid-Merit Financial Model default (ADV model reviewed 9 Oct 2026); unchanged across cases.</t>
      </text>
    </comment>
    <comment ref="L56" authorId="0" shapeId="0">
      <text>
        <t>Timing of VAT recovery — Fin42, New-Build OCGT - Visayas 440MW
Source: naruto / ERC Mid-Merit Financial Model default (ADV model reviewed 9 Oct 2026); unchanged across cases.</t>
      </text>
    </comment>
    <comment ref="M56" authorId="0" shapeId="0">
      <text>
        <t>Timing of VAT recovery — Fin42, New-Build Gas Engine - Visayas 440MW
Source: naruto / ERC Mid-Merit Financial Model default (ADV model reviewed 9 Oct 2026); unchanged across cases.</t>
      </text>
    </comment>
    <comment ref="N56" authorId="0" shapeId="0">
      <text>
        <t>Timing of VAT recovery — Fin42, New-Build CCGT - Visayas 500MW
Source: naruto / ERC Mid-Merit Financial Model default (ADV model reviewed 9 Oct 2026); unchanged across cases.</t>
      </text>
    </comment>
    <comment ref="O56" authorId="0" shapeId="0">
      <text>
        <t>Timing of VAT recovery — Fin42, New-Build OCGT - Visayas 500MW
Source: naruto / ERC Mid-Merit Financial Model default (ADV model reviewed 9 Oct 2026); unchanged across cases.</t>
      </text>
    </comment>
    <comment ref="P56" authorId="0" shapeId="0">
      <text>
        <t>Timing of VAT recovery — Fin42, New-Build Gas Engine - Visayas 500MW
Source: naruto / ERC Mid-Merit Financial Model default (ADV model reviewed 9 Oct 2026); unchanged across cases.</t>
      </text>
    </comment>
    <comment ref="Q56" authorId="0" shapeId="0">
      <text>
        <t>Timing of VAT recovery — Fin90, Lot 1 Existing CCGT - Luzon
Source: naruto / ERC Mid-Merit Financial Model default (ADV model reviewed 9 Oct 2026); unchanged across cases.</t>
      </text>
    </comment>
    <comment ref="R56" authorId="0" shapeId="0">
      <text>
        <t>Timing of VAT recovery — Fin90, Lot 2 Existing CCGT - Luzon
Source: naruto / ERC Mid-Merit Financial Model default (ADV model reviewed 9 Oct 2026); unchanged across cases.</t>
      </text>
    </comment>
    <comment ref="S56" authorId="0" shapeId="0">
      <text>
        <t>Timing of VAT recovery — Fin90, New-Build CCGT - Luzon 1000MW
Source: naruto / ERC Mid-Merit Financial Model default (ADV model reviewed 9 Oct 2026); unchanged across cases.</t>
      </text>
    </comment>
    <comment ref="T56" authorId="0" shapeId="0">
      <text>
        <t>Timing of VAT recovery — Fin90, New-Build OCGT - Luzon 1000MW
Source: naruto / ERC Mid-Merit Financial Model default (ADV model reviewed 9 Oct 2026); unchanged across cases.</t>
      </text>
    </comment>
    <comment ref="U56" authorId="0" shapeId="0">
      <text>
        <t>Timing of VAT recovery — Fin90, New-Build Gas Engine - Luzon 1000MW
Source: naruto / ERC Mid-Merit Financial Model default (ADV model reviewed 9 Oct 2026); unchanged across cases.</t>
      </text>
    </comment>
    <comment ref="V56" authorId="0" shapeId="0">
      <text>
        <t>Timing of VAT recovery — Fin90, New-Build CCGT - Visayas 440MW
Source: naruto / ERC Mid-Merit Financial Model default (ADV model reviewed 9 Oct 2026); unchanged across cases.</t>
      </text>
    </comment>
    <comment ref="W56" authorId="0" shapeId="0">
      <text>
        <t>Timing of VAT recovery — Fin90, New-Build OCGT - Visayas 440MW
Source: naruto / ERC Mid-Merit Financial Model default (ADV model reviewed 9 Oct 2026); unchanged across cases.</t>
      </text>
    </comment>
    <comment ref="X56" authorId="0" shapeId="0">
      <text>
        <t>Timing of VAT recovery — Fin90, New-Build Gas Engine - Visayas 440MW
Source: naruto / ERC Mid-Merit Financial Model default (ADV model reviewed 9 Oct 2026); unchanged across cases.</t>
      </text>
    </comment>
    <comment ref="Y56" authorId="0" shapeId="0">
      <text>
        <t>Timing of VAT recovery — Fin90, New-Build CCGT - Visayas 500MW
Source: naruto / ERC Mid-Merit Financial Model default (ADV model reviewed 9 Oct 2026); unchanged across cases.</t>
      </text>
    </comment>
    <comment ref="Z56" authorId="0" shapeId="0">
      <text>
        <t>Timing of VAT recovery — Fin90, New-Build OCGT - Visayas 500MW
Source: naruto / ERC Mid-Merit Financial Model default (ADV model reviewed 9 Oct 2026); unchanged across cases.</t>
      </text>
    </comment>
    <comment ref="AA56" authorId="0" shapeId="0">
      <text>
        <t>Timing of VAT recovery — Fin90, New-Build Gas Engine - Visayas 500MW
Source: naruto / ERC Mid-Merit Financial Model default (ADV model reviewed 9 Oct 2026); unchanged across cases.</t>
      </text>
    </comment>
    <comment ref="F57" authorId="0" shapeId="0">
      <text>
        <t>Income tax holiday — Fin42, Lot 1 Existing CCGT - Luzon
Source: naruto / ERC Mid-Merit Financial Model default (ADV model reviewed 9 Oct 2026); unchanged across cases.</t>
      </text>
    </comment>
    <comment ref="G57" authorId="0" shapeId="0">
      <text>
        <t>Income tax holiday — Fin42, Lot 2 Existing CCGT - Luzon
Source: naruto / ERC Mid-Merit Financial Model default (ADV model reviewed 9 Oct 2026); unchanged across cases.</t>
      </text>
    </comment>
    <comment ref="H57" authorId="0" shapeId="0">
      <text>
        <t>Income tax holiday — Fin42, New-Build CCGT - Luzon 1000MW
Source: naruto / ERC Mid-Merit Financial Model default (ADV model reviewed 9 Oct 2026); unchanged across cases.</t>
      </text>
    </comment>
    <comment ref="I57" authorId="0" shapeId="0">
      <text>
        <t>Income tax holiday — Fin42, New-Build OCGT - Luzon 1000MW
Source: naruto / ERC Mid-Merit Financial Model default (ADV model reviewed 9 Oct 2026); unchanged across cases.</t>
      </text>
    </comment>
    <comment ref="J57" authorId="0" shapeId="0">
      <text>
        <t>Income tax holiday — Fin42, New-Build Gas Engine - Luzon 1000MW
Source: naruto / ERC Mid-Merit Financial Model default (ADV model reviewed 9 Oct 2026); unchanged across cases.</t>
      </text>
    </comment>
    <comment ref="K57" authorId="0" shapeId="0">
      <text>
        <t>Income tax holiday — Fin42, New-Build CCGT - Visayas 440MW
Source: naruto / ERC Mid-Merit Financial Model default (ADV model reviewed 9 Oct 2026); unchanged across cases.</t>
      </text>
    </comment>
    <comment ref="L57" authorId="0" shapeId="0">
      <text>
        <t>Income tax holiday — Fin42, New-Build OCGT - Visayas 440MW
Source: naruto / ERC Mid-Merit Financial Model default (ADV model reviewed 9 Oct 2026); unchanged across cases.</t>
      </text>
    </comment>
    <comment ref="M57" authorId="0" shapeId="0">
      <text>
        <t>Income tax holiday — Fin42, New-Build Gas Engine - Visayas 440MW
Source: naruto / ERC Mid-Merit Financial Model default (ADV model reviewed 9 Oct 2026); unchanged across cases.</t>
      </text>
    </comment>
    <comment ref="N57" authorId="0" shapeId="0">
      <text>
        <t>Income tax holiday — Fin42, New-Build CCGT - Visayas 500MW
Source: naruto / ERC Mid-Merit Financial Model default (ADV model reviewed 9 Oct 2026); unchanged across cases.</t>
      </text>
    </comment>
    <comment ref="O57" authorId="0" shapeId="0">
      <text>
        <t>Income tax holiday — Fin42, New-Build OCGT - Visayas 500MW
Source: naruto / ERC Mid-Merit Financial Model default (ADV model reviewed 9 Oct 2026); unchanged across cases.</t>
      </text>
    </comment>
    <comment ref="P57" authorId="0" shapeId="0">
      <text>
        <t>Income tax holiday — Fin42, New-Build Gas Engine - Visayas 500MW
Source: naruto / ERC Mid-Merit Financial Model default (ADV model reviewed 9 Oct 2026); unchanged across cases.</t>
      </text>
    </comment>
    <comment ref="Q57" authorId="0" shapeId="0">
      <text>
        <t>Income tax holiday — Fin90, Lot 1 Existing CCGT - Luzon
Source: naruto / ERC Mid-Merit Financial Model default (ADV model reviewed 9 Oct 2026); unchanged across cases.</t>
      </text>
    </comment>
    <comment ref="R57" authorId="0" shapeId="0">
      <text>
        <t>Income tax holiday — Fin90, Lot 2 Existing CCGT - Luzon
Source: naruto / ERC Mid-Merit Financial Model default (ADV model reviewed 9 Oct 2026); unchanged across cases.</t>
      </text>
    </comment>
    <comment ref="S57" authorId="0" shapeId="0">
      <text>
        <t>Income tax holiday — Fin90, New-Build CCGT - Luzon 1000MW
Source: naruto / ERC Mid-Merit Financial Model default (ADV model reviewed 9 Oct 2026); unchanged across cases.</t>
      </text>
    </comment>
    <comment ref="T57" authorId="0" shapeId="0">
      <text>
        <t>Income tax holiday — Fin90, New-Build OCGT - Luzon 1000MW
Source: naruto / ERC Mid-Merit Financial Model default (ADV model reviewed 9 Oct 2026); unchanged across cases.</t>
      </text>
    </comment>
    <comment ref="U57" authorId="0" shapeId="0">
      <text>
        <t>Income tax holiday — Fin90, New-Build Gas Engine - Luzon 1000MW
Source: naruto / ERC Mid-Merit Financial Model default (ADV model reviewed 9 Oct 2026); unchanged across cases.</t>
      </text>
    </comment>
    <comment ref="V57" authorId="0" shapeId="0">
      <text>
        <t>Income tax holiday — Fin90, New-Build CCGT - Visayas 440MW
Source: naruto / ERC Mid-Merit Financial Model default (ADV model reviewed 9 Oct 2026); unchanged across cases.</t>
      </text>
    </comment>
    <comment ref="W57" authorId="0" shapeId="0">
      <text>
        <t>Income tax holiday — Fin90, New-Build OCGT - Visayas 440MW
Source: naruto / ERC Mid-Merit Financial Model default (ADV model reviewed 9 Oct 2026); unchanged across cases.</t>
      </text>
    </comment>
    <comment ref="X57" authorId="0" shapeId="0">
      <text>
        <t>Income tax holiday — Fin90, New-Build Gas Engine - Visayas 440MW
Source: naruto / ERC Mid-Merit Financial Model default (ADV model reviewed 9 Oct 2026); unchanged across cases.</t>
      </text>
    </comment>
    <comment ref="Y57" authorId="0" shapeId="0">
      <text>
        <t>Income tax holiday — Fin90, New-Build CCGT - Visayas 500MW
Source: naruto / ERC Mid-Merit Financial Model default (ADV model reviewed 9 Oct 2026); unchanged across cases.</t>
      </text>
    </comment>
    <comment ref="Z57" authorId="0" shapeId="0">
      <text>
        <t>Income tax holiday — Fin90, New-Build OCGT - Visayas 500MW
Source: naruto / ERC Mid-Merit Financial Model default (ADV model reviewed 9 Oct 2026); unchanged across cases.</t>
      </text>
    </comment>
    <comment ref="AA57" authorId="0" shapeId="0">
      <text>
        <t>Income tax holiday — Fin90, New-Build Gas Engine - Visayas 500MW
Source: naruto / ERC Mid-Merit Financial Model default (ADV model reviewed 9 Oct 2026); unchanged across cases.</t>
      </text>
    </comment>
    <comment ref="F58" authorId="0" shapeId="0">
      <text>
        <t>Income tax rate (after ITH) — Fin42, Lot 1 Existing CCGT - Luzon
Source: 25% regular corporate income tax, CREATE Act (RA 11534). No BOI/PEZA incentive assumed (F51 = 1).</t>
      </text>
    </comment>
    <comment ref="G58" authorId="0" shapeId="0">
      <text>
        <t>Income tax rate (after ITH) — Fin42, Lot 2 Existing CCGT - Luzon
Source: 25% regular corporate income tax, CREATE Act (RA 11534). No BOI/PEZA incentive assumed (F51 = 1).</t>
      </text>
    </comment>
    <comment ref="H58" authorId="0" shapeId="0">
      <text>
        <t>Income tax rate (after ITH) — Fin42, New-Build CCGT - Luzon 1000MW
Source: 25% regular corporate income tax, CREATE Act (RA 11534). No BOI/PEZA incentive assumed (F51 = 1).</t>
      </text>
    </comment>
    <comment ref="I58" authorId="0" shapeId="0">
      <text>
        <t>Income tax rate (after ITH) — Fin42, New-Build OCGT - Luzon 1000MW
Source: 25% regular corporate income tax, CREATE Act (RA 11534). No BOI/PEZA incentive assumed (F51 = 1).</t>
      </text>
    </comment>
    <comment ref="J58" authorId="0" shapeId="0">
      <text>
        <t>Income tax rate (after ITH) — Fin42, New-Build Gas Engine - Luzon 1000MW
Source: 25% regular corporate income tax, CREATE Act (RA 11534). No BOI/PEZA incentive assumed (F51 = 1).</t>
      </text>
    </comment>
    <comment ref="K58" authorId="0" shapeId="0">
      <text>
        <t>Income tax rate (after ITH) — Fin42, New-Build CCGT - Visayas 440MW
Source: 25% regular corporate income tax, CREATE Act (RA 11534). No BOI/PEZA incentive assumed (F51 = 1).</t>
      </text>
    </comment>
    <comment ref="L58" authorId="0" shapeId="0">
      <text>
        <t>Income tax rate (after ITH) — Fin42, New-Build OCGT - Visayas 440MW
Source: 25% regular corporate income tax, CREATE Act (RA 11534). No BOI/PEZA incentive assumed (F51 = 1).</t>
      </text>
    </comment>
    <comment ref="M58" authorId="0" shapeId="0">
      <text>
        <t>Income tax rate (after ITH) — Fin42, New-Build Gas Engine - Visayas 440MW
Source: 25% regular corporate income tax, CREATE Act (RA 11534). No BOI/PEZA incentive assumed (F51 = 1).</t>
      </text>
    </comment>
    <comment ref="N58" authorId="0" shapeId="0">
      <text>
        <t>Income tax rate (after ITH) — Fin42, New-Build CCGT - Visayas 500MW
Source: 25% regular corporate income tax, CREATE Act (RA 11534). No BOI/PEZA incentive assumed (F51 = 1).</t>
      </text>
    </comment>
    <comment ref="O58" authorId="0" shapeId="0">
      <text>
        <t>Income tax rate (after ITH) — Fin42, New-Build OCGT - Visayas 500MW
Source: 25% regular corporate income tax, CREATE Act (RA 11534). No BOI/PEZA incentive assumed (F51 = 1).</t>
      </text>
    </comment>
    <comment ref="P58" authorId="0" shapeId="0">
      <text>
        <t>Income tax rate (after ITH) — Fin42, New-Build Gas Engine - Visayas 500MW
Source: 25% regular corporate income tax, CREATE Act (RA 11534). No BOI/PEZA incentive assumed (F51 = 1).</t>
      </text>
    </comment>
    <comment ref="Q58" authorId="0" shapeId="0">
      <text>
        <t>Income tax rate (after ITH) — Fin90, Lot 1 Existing CCGT - Luzon
Source: 25% regular corporate income tax, CREATE Act (RA 11534). No BOI/PEZA incentive assumed (F51 = 1).</t>
      </text>
    </comment>
    <comment ref="R58" authorId="0" shapeId="0">
      <text>
        <t>Income tax rate (after ITH) — Fin90, Lot 2 Existing CCGT - Luzon
Source: 25% regular corporate income tax, CREATE Act (RA 11534). No BOI/PEZA incentive assumed (F51 = 1).</t>
      </text>
    </comment>
    <comment ref="S58" authorId="0" shapeId="0">
      <text>
        <t>Income tax rate (after ITH) — Fin90, New-Build CCGT - Luzon 1000MW
Source: 25% regular corporate income tax, CREATE Act (RA 11534). No BOI/PEZA incentive assumed (F51 = 1).</t>
      </text>
    </comment>
    <comment ref="T58" authorId="0" shapeId="0">
      <text>
        <t>Income tax rate (after ITH) — Fin90, New-Build OCGT - Luzon 1000MW
Source: 25% regular corporate income tax, CREATE Act (RA 11534). No BOI/PEZA incentive assumed (F51 = 1).</t>
      </text>
    </comment>
    <comment ref="U58" authorId="0" shapeId="0">
      <text>
        <t>Income tax rate (after ITH) — Fin90, New-Build Gas Engine - Luzon 1000MW
Source: 25% regular corporate income tax, CREATE Act (RA 11534). No BOI/PEZA incentive assumed (F51 = 1).</t>
      </text>
    </comment>
    <comment ref="V58" authorId="0" shapeId="0">
      <text>
        <t>Income tax rate (after ITH) — Fin90, New-Build CCGT - Visayas 440MW
Source: 25% regular corporate income tax, CREATE Act (RA 11534). No BOI/PEZA incentive assumed (F51 = 1).</t>
      </text>
    </comment>
    <comment ref="W58" authorId="0" shapeId="0">
      <text>
        <t>Income tax rate (after ITH) — Fin90, New-Build OCGT - Visayas 440MW
Source: 25% regular corporate income tax, CREATE Act (RA 11534). No BOI/PEZA incentive assumed (F51 = 1).</t>
      </text>
    </comment>
    <comment ref="X58" authorId="0" shapeId="0">
      <text>
        <t>Income tax rate (after ITH) — Fin90, New-Build Gas Engine - Visayas 440MW
Source: 25% regular corporate income tax, CREATE Act (RA 11534). No BOI/PEZA incentive assumed (F51 = 1).</t>
      </text>
    </comment>
    <comment ref="Y58" authorId="0" shapeId="0">
      <text>
        <t>Income tax rate (after ITH) — Fin90, New-Build CCGT - Visayas 500MW
Source: 25% regular corporate income tax, CREATE Act (RA 11534). No BOI/PEZA incentive assumed (F51 = 1).</t>
      </text>
    </comment>
    <comment ref="Z58" authorId="0" shapeId="0">
      <text>
        <t>Income tax rate (after ITH) — Fin90, New-Build OCGT - Visayas 500MW
Source: 25% regular corporate income tax, CREATE Act (RA 11534). No BOI/PEZA incentive assumed (F51 = 1).</t>
      </text>
    </comment>
    <comment ref="AA58" authorId="0" shapeId="0">
      <text>
        <t>Income tax rate (after ITH) — Fin90, New-Build Gas Engine - Visayas 500MW
Source: 25% regular corporate income tax, CREATE Act (RA 11534). No BOI/PEZA incentive assumed (F51 = 1).</t>
      </text>
    </comment>
    <comment ref="F59" authorId="0" shapeId="0">
      <text>
        <t>Real property tax — Fin42, Lot 1 Existing CCGT - Luzon
Source: 2% RPT (Local Government Code).</t>
      </text>
    </comment>
    <comment ref="G59" authorId="0" shapeId="0">
      <text>
        <t>Real property tax — Fin42, Lot 2 Existing CCGT - Luzon
Source: 2% RPT (Local Government Code).</t>
      </text>
    </comment>
    <comment ref="H59" authorId="0" shapeId="0">
      <text>
        <t>Real property tax — Fin42, New-Build CCGT - Luzon 1000MW
Source: 2% RPT (Local Government Code).</t>
      </text>
    </comment>
    <comment ref="I59" authorId="0" shapeId="0">
      <text>
        <t>Real property tax — Fin42, New-Build OCGT - Luzon 1000MW
Source: 2% RPT (Local Government Code).</t>
      </text>
    </comment>
    <comment ref="J59" authorId="0" shapeId="0">
      <text>
        <t>Real property tax — Fin42, New-Build Gas Engine - Luzon 1000MW
Source: 2% RPT (Local Government Code).</t>
      </text>
    </comment>
    <comment ref="K59" authorId="0" shapeId="0">
      <text>
        <t>Real property tax — Fin42, New-Build CCGT - Visayas 440MW
Source: 2% RPT (Local Government Code).</t>
      </text>
    </comment>
    <comment ref="L59" authorId="0" shapeId="0">
      <text>
        <t>Real property tax — Fin42, New-Build OCGT - Visayas 440MW
Source: 2% RPT (Local Government Code).</t>
      </text>
    </comment>
    <comment ref="M59" authorId="0" shapeId="0">
      <text>
        <t>Real property tax — Fin42, New-Build Gas Engine - Visayas 440MW
Source: 2% RPT (Local Government Code).</t>
      </text>
    </comment>
    <comment ref="N59" authorId="0" shapeId="0">
      <text>
        <t>Real property tax — Fin42, New-Build CCGT - Visayas 500MW
Source: 2% RPT (Local Government Code).</t>
      </text>
    </comment>
    <comment ref="O59" authorId="0" shapeId="0">
      <text>
        <t>Real property tax — Fin42, New-Build OCGT - Visayas 500MW
Source: 2% RPT (Local Government Code).</t>
      </text>
    </comment>
    <comment ref="P59" authorId="0" shapeId="0">
      <text>
        <t>Real property tax — Fin42, New-Build Gas Engine - Visayas 500MW
Source: 2% RPT (Local Government Code).</t>
      </text>
    </comment>
    <comment ref="Q59" authorId="0" shapeId="0">
      <text>
        <t>Real property tax — Fin90, Lot 1 Existing CCGT - Luzon
Source: 2% RPT (Local Government Code).</t>
      </text>
    </comment>
    <comment ref="R59" authorId="0" shapeId="0">
      <text>
        <t>Real property tax — Fin90, Lot 2 Existing CCGT - Luzon
Source: 2% RPT (Local Government Code).</t>
      </text>
    </comment>
    <comment ref="S59" authorId="0" shapeId="0">
      <text>
        <t>Real property tax — Fin90, New-Build CCGT - Luzon 1000MW
Source: 2% RPT (Local Government Code).</t>
      </text>
    </comment>
    <comment ref="T59" authorId="0" shapeId="0">
      <text>
        <t>Real property tax — Fin90, New-Build OCGT - Luzon 1000MW
Source: 2% RPT (Local Government Code).</t>
      </text>
    </comment>
    <comment ref="U59" authorId="0" shapeId="0">
      <text>
        <t>Real property tax — Fin90, New-Build Gas Engine - Luzon 1000MW
Source: 2% RPT (Local Government Code).</t>
      </text>
    </comment>
    <comment ref="V59" authorId="0" shapeId="0">
      <text>
        <t>Real property tax — Fin90, New-Build CCGT - Visayas 440MW
Source: 2% RPT (Local Government Code).</t>
      </text>
    </comment>
    <comment ref="W59" authorId="0" shapeId="0">
      <text>
        <t>Real property tax — Fin90, New-Build OCGT - Visayas 440MW
Source: 2% RPT (Local Government Code).</t>
      </text>
    </comment>
    <comment ref="X59" authorId="0" shapeId="0">
      <text>
        <t>Real property tax — Fin90, New-Build Gas Engine - Visayas 440MW
Source: 2% RPT (Local Government Code).</t>
      </text>
    </comment>
    <comment ref="Y59" authorId="0" shapeId="0">
      <text>
        <t>Real property tax — Fin90, New-Build CCGT - Visayas 500MW
Source: 2% RPT (Local Government Code).</t>
      </text>
    </comment>
    <comment ref="Z59" authorId="0" shapeId="0">
      <text>
        <t>Real property tax — Fin90, New-Build OCGT - Visayas 500MW
Source: 2% RPT (Local Government Code).</t>
      </text>
    </comment>
    <comment ref="AA59" authorId="0" shapeId="0">
      <text>
        <t>Real property tax — Fin90, New-Build Gas Engine - Visayas 500MW
Source: 2% RPT (Local Government Code).</t>
      </text>
    </comment>
    <comment ref="F60" authorId="0" shapeId="0">
      <text>
        <t>RPT assessment level (of NBV) — Fin42, Lot 1 Existing CCGT - Luzon
Source: naruto / ERC Mid-Merit Financial Model default (ADV model reviewed 9 Oct 2026); unchanged across cases.</t>
      </text>
    </comment>
    <comment ref="G60" authorId="0" shapeId="0">
      <text>
        <t>RPT assessment level (of NBV) — Fin42, Lot 2 Existing CCGT - Luzon
Source: naruto / ERC Mid-Merit Financial Model default (ADV model reviewed 9 Oct 2026); unchanged across cases.</t>
      </text>
    </comment>
    <comment ref="H60" authorId="0" shapeId="0">
      <text>
        <t>RPT assessment level (of NBV) — Fin42, New-Build CCGT - Luzon 1000MW
Source: naruto / ERC Mid-Merit Financial Model default (ADV model reviewed 9 Oct 2026); unchanged across cases.</t>
      </text>
    </comment>
    <comment ref="I60" authorId="0" shapeId="0">
      <text>
        <t>RPT assessment level (of NBV) — Fin42, New-Build OCGT - Luzon 1000MW
Source: naruto / ERC Mid-Merit Financial Model default (ADV model reviewed 9 Oct 2026); unchanged across cases.</t>
      </text>
    </comment>
    <comment ref="J60" authorId="0" shapeId="0">
      <text>
        <t>RPT assessment level (of NBV) — Fin42, New-Build Gas Engine - Luzon 1000MW
Source: naruto / ERC Mid-Merit Financial Model default (ADV model reviewed 9 Oct 2026); unchanged across cases.</t>
      </text>
    </comment>
    <comment ref="K60" authorId="0" shapeId="0">
      <text>
        <t>RPT assessment level (of NBV) — Fin42, New-Build CCGT - Visayas 440MW
Source: naruto / ERC Mid-Merit Financial Model default (ADV model reviewed 9 Oct 2026); unchanged across cases.</t>
      </text>
    </comment>
    <comment ref="L60" authorId="0" shapeId="0">
      <text>
        <t>RPT assessment level (of NBV) — Fin42, New-Build OCGT - Visayas 440MW
Source: naruto / ERC Mid-Merit Financial Model default (ADV model reviewed 9 Oct 2026); unchanged across cases.</t>
      </text>
    </comment>
    <comment ref="M60" authorId="0" shapeId="0">
      <text>
        <t>RPT assessment level (of NBV) — Fin42, New-Build Gas Engine - Visayas 440MW
Source: naruto / ERC Mid-Merit Financial Model default (ADV model reviewed 9 Oct 2026); unchanged across cases.</t>
      </text>
    </comment>
    <comment ref="N60" authorId="0" shapeId="0">
      <text>
        <t>RPT assessment level (of NBV) — Fin42, New-Build CCGT - Visayas 500MW
Source: naruto / ERC Mid-Merit Financial Model default (ADV model reviewed 9 Oct 2026); unchanged across cases.</t>
      </text>
    </comment>
    <comment ref="O60" authorId="0" shapeId="0">
      <text>
        <t>RPT assessment level (of NBV) — Fin42, New-Build OCGT - Visayas 500MW
Source: naruto / ERC Mid-Merit Financial Model default (ADV model reviewed 9 Oct 2026); unchanged across cases.</t>
      </text>
    </comment>
    <comment ref="P60" authorId="0" shapeId="0">
      <text>
        <t>RPT assessment level (of NBV) — Fin42, New-Build Gas Engine - Visayas 500MW
Source: naruto / ERC Mid-Merit Financial Model default (ADV model reviewed 9 Oct 2026); unchanged across cases.</t>
      </text>
    </comment>
    <comment ref="Q60" authorId="0" shapeId="0">
      <text>
        <t>RPT assessment level (of NBV) — Fin90, Lot 1 Existing CCGT - Luzon
Source: naruto / ERC Mid-Merit Financial Model default (ADV model reviewed 9 Oct 2026); unchanged across cases.</t>
      </text>
    </comment>
    <comment ref="R60" authorId="0" shapeId="0">
      <text>
        <t>RPT assessment level (of NBV) — Fin90, Lot 2 Existing CCGT - Luzon
Source: naruto / ERC Mid-Merit Financial Model default (ADV model reviewed 9 Oct 2026); unchanged across cases.</t>
      </text>
    </comment>
    <comment ref="S60" authorId="0" shapeId="0">
      <text>
        <t>RPT assessment level (of NBV) — Fin90, New-Build CCGT - Luzon 1000MW
Source: naruto / ERC Mid-Merit Financial Model default (ADV model reviewed 9 Oct 2026); unchanged across cases.</t>
      </text>
    </comment>
    <comment ref="T60" authorId="0" shapeId="0">
      <text>
        <t>RPT assessment level (of NBV) — Fin90, New-Build OCGT - Luzon 1000MW
Source: naruto / ERC Mid-Merit Financial Model default (ADV model reviewed 9 Oct 2026); unchanged across cases.</t>
      </text>
    </comment>
    <comment ref="U60" authorId="0" shapeId="0">
      <text>
        <t>RPT assessment level (of NBV) — Fin90, New-Build Gas Engine - Luzon 1000MW
Source: naruto / ERC Mid-Merit Financial Model default (ADV model reviewed 9 Oct 2026); unchanged across cases.</t>
      </text>
    </comment>
    <comment ref="V60" authorId="0" shapeId="0">
      <text>
        <t>RPT assessment level (of NBV) — Fin90, New-Build CCGT - Visayas 440MW
Source: naruto / ERC Mid-Merit Financial Model default (ADV model reviewed 9 Oct 2026); unchanged across cases.</t>
      </text>
    </comment>
    <comment ref="W60" authorId="0" shapeId="0">
      <text>
        <t>RPT assessment level (of NBV) — Fin90, New-Build OCGT - Visayas 440MW
Source: naruto / ERC Mid-Merit Financial Model default (ADV model reviewed 9 Oct 2026); unchanged across cases.</t>
      </text>
    </comment>
    <comment ref="X60" authorId="0" shapeId="0">
      <text>
        <t>RPT assessment level (of NBV) — Fin90, New-Build Gas Engine - Visayas 440MW
Source: naruto / ERC Mid-Merit Financial Model default (ADV model reviewed 9 Oct 2026); unchanged across cases.</t>
      </text>
    </comment>
    <comment ref="Y60" authorId="0" shapeId="0">
      <text>
        <t>RPT assessment level (of NBV) — Fin90, New-Build CCGT - Visayas 500MW
Source: naruto / ERC Mid-Merit Financial Model default (ADV model reviewed 9 Oct 2026); unchanged across cases.</t>
      </text>
    </comment>
    <comment ref="Z60" authorId="0" shapeId="0">
      <text>
        <t>RPT assessment level (of NBV) — Fin90, New-Build OCGT - Visayas 500MW
Source: naruto / ERC Mid-Merit Financial Model default (ADV model reviewed 9 Oct 2026); unchanged across cases.</t>
      </text>
    </comment>
    <comment ref="AA60" authorId="0" shapeId="0">
      <text>
        <t>RPT assessment level (of NBV) — Fin90, New-Build Gas Engine - Visayas 500MW
Source: naruto / ERC Mid-Merit Financial Model default (ADV model reviewed 9 Oct 2026); unchanged across cases.</t>
      </text>
    </comment>
    <comment ref="F61" authorId="0" shapeId="0">
      <text>
        <t>Local business tax — Fin42, Lot 1 Existing CCGT - Luzon
Source: 1% local business tax (LGC).</t>
      </text>
    </comment>
    <comment ref="G61" authorId="0" shapeId="0">
      <text>
        <t>Local business tax — Fin42, Lot 2 Existing CCGT - Luzon
Source: 1% local business tax (LGC).</t>
      </text>
    </comment>
    <comment ref="H61" authorId="0" shapeId="0">
      <text>
        <t>Local business tax — Fin42, New-Build CCGT - Luzon 1000MW
Source: 1% local business tax (LGC).</t>
      </text>
    </comment>
    <comment ref="I61" authorId="0" shapeId="0">
      <text>
        <t>Local business tax — Fin42, New-Build OCGT - Luzon 1000MW
Source: 1% local business tax (LGC).</t>
      </text>
    </comment>
    <comment ref="J61" authorId="0" shapeId="0">
      <text>
        <t>Local business tax — Fin42, New-Build Gas Engine - Luzon 1000MW
Source: 1% local business tax (LGC).</t>
      </text>
    </comment>
    <comment ref="K61" authorId="0" shapeId="0">
      <text>
        <t>Local business tax — Fin42, New-Build CCGT - Visayas 440MW
Source: 1% local business tax (LGC).</t>
      </text>
    </comment>
    <comment ref="L61" authorId="0" shapeId="0">
      <text>
        <t>Local business tax — Fin42, New-Build OCGT - Visayas 440MW
Source: 1% local business tax (LGC).</t>
      </text>
    </comment>
    <comment ref="M61" authorId="0" shapeId="0">
      <text>
        <t>Local business tax — Fin42, New-Build Gas Engine - Visayas 440MW
Source: 1% local business tax (LGC).</t>
      </text>
    </comment>
    <comment ref="N61" authorId="0" shapeId="0">
      <text>
        <t>Local business tax — Fin42, New-Build CCGT - Visayas 500MW
Source: 1% local business tax (LGC).</t>
      </text>
    </comment>
    <comment ref="O61" authorId="0" shapeId="0">
      <text>
        <t>Local business tax — Fin42, New-Build OCGT - Visayas 500MW
Source: 1% local business tax (LGC).</t>
      </text>
    </comment>
    <comment ref="P61" authorId="0" shapeId="0">
      <text>
        <t>Local business tax — Fin42, New-Build Gas Engine - Visayas 500MW
Source: 1% local business tax (LGC).</t>
      </text>
    </comment>
    <comment ref="Q61" authorId="0" shapeId="0">
      <text>
        <t>Local business tax — Fin90, Lot 1 Existing CCGT - Luzon
Source: 1% local business tax (LGC).</t>
      </text>
    </comment>
    <comment ref="R61" authorId="0" shapeId="0">
      <text>
        <t>Local business tax — Fin90, Lot 2 Existing CCGT - Luzon
Source: 1% local business tax (LGC).</t>
      </text>
    </comment>
    <comment ref="S61" authorId="0" shapeId="0">
      <text>
        <t>Local business tax — Fin90, New-Build CCGT - Luzon 1000MW
Source: 1% local business tax (LGC).</t>
      </text>
    </comment>
    <comment ref="T61" authorId="0" shapeId="0">
      <text>
        <t>Local business tax — Fin90, New-Build OCGT - Luzon 1000MW
Source: 1% local business tax (LGC).</t>
      </text>
    </comment>
    <comment ref="U61" authorId="0" shapeId="0">
      <text>
        <t>Local business tax — Fin90, New-Build Gas Engine - Luzon 1000MW
Source: 1% local business tax (LGC).</t>
      </text>
    </comment>
    <comment ref="V61" authorId="0" shapeId="0">
      <text>
        <t>Local business tax — Fin90, New-Build CCGT - Visayas 440MW
Source: 1% local business tax (LGC).</t>
      </text>
    </comment>
    <comment ref="W61" authorId="0" shapeId="0">
      <text>
        <t>Local business tax — Fin90, New-Build OCGT - Visayas 440MW
Source: 1% local business tax (LGC).</t>
      </text>
    </comment>
    <comment ref="X61" authorId="0" shapeId="0">
      <text>
        <t>Local business tax — Fin90, New-Build Gas Engine - Visayas 440MW
Source: 1% local business tax (LGC).</t>
      </text>
    </comment>
    <comment ref="Y61" authorId="0" shapeId="0">
      <text>
        <t>Local business tax — Fin90, New-Build CCGT - Visayas 500MW
Source: 1% local business tax (LGC).</t>
      </text>
    </comment>
    <comment ref="Z61" authorId="0" shapeId="0">
      <text>
        <t>Local business tax — Fin90, New-Build OCGT - Visayas 500MW
Source: 1% local business tax (LGC).</t>
      </text>
    </comment>
    <comment ref="AA61" authorId="0" shapeId="0">
      <text>
        <t>Local business tax — Fin90, New-Build Gas Engine - Visayas 500MW
Source: 1% local business tax (LGC).</t>
      </text>
    </comment>
    <comment ref="F62" authorId="0" shapeId="0">
      <text>
        <t>Government share — Fin42, Lot 1 Existing CCGT - Luzon
Source: Not applicable to gas (GAIR 8.8.3).</t>
      </text>
    </comment>
    <comment ref="G62" authorId="0" shapeId="0">
      <text>
        <t>Government share — Fin42, Lot 2 Existing CCGT - Luzon
Source: Not applicable to gas (GAIR 8.8.3).</t>
      </text>
    </comment>
    <comment ref="H62" authorId="0" shapeId="0">
      <text>
        <t>Government share — Fin42, New-Build CCGT - Luzon 1000MW
Source: Not applicable to gas (GAIR 8.8.3).</t>
      </text>
    </comment>
    <comment ref="I62" authorId="0" shapeId="0">
      <text>
        <t>Government share — Fin42, New-Build OCGT - Luzon 1000MW
Source: Not applicable to gas (GAIR 8.8.3).</t>
      </text>
    </comment>
    <comment ref="J62" authorId="0" shapeId="0">
      <text>
        <t>Government share — Fin42, New-Build Gas Engine - Luzon 1000MW
Source: Not applicable to gas (GAIR 8.8.3).</t>
      </text>
    </comment>
    <comment ref="K62" authorId="0" shapeId="0">
      <text>
        <t>Government share — Fin42, New-Build CCGT - Visayas 440MW
Source: Not applicable to gas (GAIR 8.8.3).</t>
      </text>
    </comment>
    <comment ref="L62" authorId="0" shapeId="0">
      <text>
        <t>Government share — Fin42, New-Build OCGT - Visayas 440MW
Source: Not applicable to gas (GAIR 8.8.3).</t>
      </text>
    </comment>
    <comment ref="M62" authorId="0" shapeId="0">
      <text>
        <t>Government share — Fin42, New-Build Gas Engine - Visayas 440MW
Source: Not applicable to gas (GAIR 8.8.3).</t>
      </text>
    </comment>
    <comment ref="N62" authorId="0" shapeId="0">
      <text>
        <t>Government share — Fin42, New-Build CCGT - Visayas 500MW
Source: Not applicable to gas (GAIR 8.8.3).</t>
      </text>
    </comment>
    <comment ref="O62" authorId="0" shapeId="0">
      <text>
        <t>Government share — Fin42, New-Build OCGT - Visayas 500MW
Source: Not applicable to gas (GAIR 8.8.3).</t>
      </text>
    </comment>
    <comment ref="P62" authorId="0" shapeId="0">
      <text>
        <t>Government share — Fin42, New-Build Gas Engine - Visayas 500MW
Source: Not applicable to gas (GAIR 8.8.3).</t>
      </text>
    </comment>
    <comment ref="Q62" authorId="0" shapeId="0">
      <text>
        <t>Government share — Fin90, Lot 1 Existing CCGT - Luzon
Source: Not applicable to gas (GAIR 8.8.3).</t>
      </text>
    </comment>
    <comment ref="R62" authorId="0" shapeId="0">
      <text>
        <t>Government share — Fin90, Lot 2 Existing CCGT - Luzon
Source: Not applicable to gas (GAIR 8.8.3).</t>
      </text>
    </comment>
    <comment ref="S62" authorId="0" shapeId="0">
      <text>
        <t>Government share — Fin90, New-Build CCGT - Luzon 1000MW
Source: Not applicable to gas (GAIR 8.8.3).</t>
      </text>
    </comment>
    <comment ref="T62" authorId="0" shapeId="0">
      <text>
        <t>Government share — Fin90, New-Build OCGT - Luzon 1000MW
Source: Not applicable to gas (GAIR 8.8.3).</t>
      </text>
    </comment>
    <comment ref="U62" authorId="0" shapeId="0">
      <text>
        <t>Government share — Fin90, New-Build Gas Engine - Luzon 1000MW
Source: Not applicable to gas (GAIR 8.8.3).</t>
      </text>
    </comment>
    <comment ref="V62" authorId="0" shapeId="0">
      <text>
        <t>Government share — Fin90, New-Build CCGT - Visayas 440MW
Source: Not applicable to gas (GAIR 8.8.3).</t>
      </text>
    </comment>
    <comment ref="W62" authorId="0" shapeId="0">
      <text>
        <t>Government share — Fin90, New-Build OCGT - Visayas 440MW
Source: Not applicable to gas (GAIR 8.8.3).</t>
      </text>
    </comment>
    <comment ref="X62" authorId="0" shapeId="0">
      <text>
        <t>Government share — Fin90, New-Build Gas Engine - Visayas 440MW
Source: Not applicable to gas (GAIR 8.8.3).</t>
      </text>
    </comment>
    <comment ref="Y62" authorId="0" shapeId="0">
      <text>
        <t>Government share — Fin90, New-Build CCGT - Visayas 500MW
Source: Not applicable to gas (GAIR 8.8.3).</t>
      </text>
    </comment>
    <comment ref="Z62" authorId="0" shapeId="0">
      <text>
        <t>Government share — Fin90, New-Build OCGT - Visayas 500MW
Source: Not applicable to gas (GAIR 8.8.3).</t>
      </text>
    </comment>
    <comment ref="AA62" authorId="0" shapeId="0">
      <text>
        <t>Government share — Fin90, New-Build Gas Engine - Visayas 500MW
Source: Not applicable to gas (GAIR 8.8.3).</t>
      </text>
    </comment>
    <comment ref="F63" authorId="0" shapeId="0">
      <text>
        <t>Withholding tax on foreign interest — Fin42, Lot 1 Existing CCGT - Luzon
Source: 10% final WHT on foreign interest (NIRC).</t>
      </text>
    </comment>
    <comment ref="G63" authorId="0" shapeId="0">
      <text>
        <t>Withholding tax on foreign interest — Fin42, Lot 2 Existing CCGT - Luzon
Source: 10% final WHT on foreign interest (NIRC).</t>
      </text>
    </comment>
    <comment ref="H63" authorId="0" shapeId="0">
      <text>
        <t>Withholding tax on foreign interest — Fin42, New-Build CCGT - Luzon 1000MW
Source: 10% final WHT on foreign interest (NIRC).</t>
      </text>
    </comment>
    <comment ref="I63" authorId="0" shapeId="0">
      <text>
        <t>Withholding tax on foreign interest — Fin42, New-Build OCGT - Luzon 1000MW
Source: 10% final WHT on foreign interest (NIRC).</t>
      </text>
    </comment>
    <comment ref="J63" authorId="0" shapeId="0">
      <text>
        <t>Withholding tax on foreign interest — Fin42, New-Build Gas Engine - Luzon 1000MW
Source: 10% final WHT on foreign interest (NIRC).</t>
      </text>
    </comment>
    <comment ref="K63" authorId="0" shapeId="0">
      <text>
        <t>Withholding tax on foreign interest — Fin42, New-Build CCGT - Visayas 440MW
Source: 10% final WHT on foreign interest (NIRC).</t>
      </text>
    </comment>
    <comment ref="L63" authorId="0" shapeId="0">
      <text>
        <t>Withholding tax on foreign interest — Fin42, New-Build OCGT - Visayas 440MW
Source: 10% final WHT on foreign interest (NIRC).</t>
      </text>
    </comment>
    <comment ref="M63" authorId="0" shapeId="0">
      <text>
        <t>Withholding tax on foreign interest — Fin42, New-Build Gas Engine - Visayas 440MW
Source: 10% final WHT on foreign interest (NIRC).</t>
      </text>
    </comment>
    <comment ref="N63" authorId="0" shapeId="0">
      <text>
        <t>Withholding tax on foreign interest — Fin42, New-Build CCGT - Visayas 500MW
Source: 10% final WHT on foreign interest (NIRC).</t>
      </text>
    </comment>
    <comment ref="O63" authorId="0" shapeId="0">
      <text>
        <t>Withholding tax on foreign interest — Fin42, New-Build OCGT - Visayas 500MW
Source: 10% final WHT on foreign interest (NIRC).</t>
      </text>
    </comment>
    <comment ref="P63" authorId="0" shapeId="0">
      <text>
        <t>Withholding tax on foreign interest — Fin42, New-Build Gas Engine - Visayas 500MW
Source: 10% final WHT on foreign interest (NIRC).</t>
      </text>
    </comment>
    <comment ref="Q63" authorId="0" shapeId="0">
      <text>
        <t>Withholding tax on foreign interest — Fin90, Lot 1 Existing CCGT - Luzon
Source: 10% final WHT on foreign interest (NIRC).</t>
      </text>
    </comment>
    <comment ref="R63" authorId="0" shapeId="0">
      <text>
        <t>Withholding tax on foreign interest — Fin90, Lot 2 Existing CCGT - Luzon
Source: 10% final WHT on foreign interest (NIRC).</t>
      </text>
    </comment>
    <comment ref="S63" authorId="0" shapeId="0">
      <text>
        <t>Withholding tax on foreign interest — Fin90, New-Build CCGT - Luzon 1000MW
Source: 10% final WHT on foreign interest (NIRC).</t>
      </text>
    </comment>
    <comment ref="T63" authorId="0" shapeId="0">
      <text>
        <t>Withholding tax on foreign interest — Fin90, New-Build OCGT - Luzon 1000MW
Source: 10% final WHT on foreign interest (NIRC).</t>
      </text>
    </comment>
    <comment ref="U63" authorId="0" shapeId="0">
      <text>
        <t>Withholding tax on foreign interest — Fin90, New-Build Gas Engine - Luzon 1000MW
Source: 10% final WHT on foreign interest (NIRC).</t>
      </text>
    </comment>
    <comment ref="V63" authorId="0" shapeId="0">
      <text>
        <t>Withholding tax on foreign interest — Fin90, New-Build CCGT - Visayas 440MW
Source: 10% final WHT on foreign interest (NIRC).</t>
      </text>
    </comment>
    <comment ref="W63" authorId="0" shapeId="0">
      <text>
        <t>Withholding tax on foreign interest — Fin90, New-Build OCGT - Visayas 440MW
Source: 10% final WHT on foreign interest (NIRC).</t>
      </text>
    </comment>
    <comment ref="X63" authorId="0" shapeId="0">
      <text>
        <t>Withholding tax on foreign interest — Fin90, New-Build Gas Engine - Visayas 440MW
Source: 10% final WHT on foreign interest (NIRC).</t>
      </text>
    </comment>
    <comment ref="Y63" authorId="0" shapeId="0">
      <text>
        <t>Withholding tax on foreign interest — Fin90, New-Build CCGT - Visayas 500MW
Source: 10% final WHT on foreign interest (NIRC).</t>
      </text>
    </comment>
    <comment ref="Z63" authorId="0" shapeId="0">
      <text>
        <t>Withholding tax on foreign interest — Fin90, New-Build OCGT - Visayas 500MW
Source: 10% final WHT on foreign interest (NIRC).</t>
      </text>
    </comment>
    <comment ref="AA63" authorId="0" shapeId="0">
      <text>
        <t>Withholding tax on foreign interest — Fin90, New-Build Gas Engine - Visayas 500MW
Source: 10% final WHT on foreign interest (NIRC).</t>
      </text>
    </comment>
    <comment ref="F64" authorId="0" shapeId="0">
      <text>
        <t>Gross receipts tax on local interest — Fin42, Lot 1 Existing CCGT - Luzon
Source: naruto / ERC Mid-Merit Financial Model default (ADV model reviewed 9 Oct 2026); unchanged across cases.</t>
      </text>
    </comment>
    <comment ref="G64" authorId="0" shapeId="0">
      <text>
        <t>Gross receipts tax on local interest — Fin42, Lot 2 Existing CCGT - Luzon
Source: naruto / ERC Mid-Merit Financial Model default (ADV model reviewed 9 Oct 2026); unchanged across cases.</t>
      </text>
    </comment>
    <comment ref="H64" authorId="0" shapeId="0">
      <text>
        <t>Gross receipts tax on local interest — Fin42, New-Build CCGT - Luzon 1000MW
Source: naruto / ERC Mid-Merit Financial Model default (ADV model reviewed 9 Oct 2026); unchanged across cases.</t>
      </text>
    </comment>
    <comment ref="I64" authorId="0" shapeId="0">
      <text>
        <t>Gross receipts tax on local interest — Fin42, New-Build OCGT - Luzon 1000MW
Source: naruto / ERC Mid-Merit Financial Model default (ADV model reviewed 9 Oct 2026); unchanged across cases.</t>
      </text>
    </comment>
    <comment ref="J64" authorId="0" shapeId="0">
      <text>
        <t>Gross receipts tax on local interest — Fin42, New-Build Gas Engine - Luzon 1000MW
Source: naruto / ERC Mid-Merit Financial Model default (ADV model reviewed 9 Oct 2026); unchanged across cases.</t>
      </text>
    </comment>
    <comment ref="K64" authorId="0" shapeId="0">
      <text>
        <t>Gross receipts tax on local interest — Fin42, New-Build CCGT - Visayas 440MW
Source: naruto / ERC Mid-Merit Financial Model default (ADV model reviewed 9 Oct 2026); unchanged across cases.</t>
      </text>
    </comment>
    <comment ref="L64" authorId="0" shapeId="0">
      <text>
        <t>Gross receipts tax on local interest — Fin42, New-Build OCGT - Visayas 440MW
Source: naruto / ERC Mid-Merit Financial Model default (ADV model reviewed 9 Oct 2026); unchanged across cases.</t>
      </text>
    </comment>
    <comment ref="M64" authorId="0" shapeId="0">
      <text>
        <t>Gross receipts tax on local interest — Fin42, New-Build Gas Engine - Visayas 440MW
Source: naruto / ERC Mid-Merit Financial Model default (ADV model reviewed 9 Oct 2026); unchanged across cases.</t>
      </text>
    </comment>
    <comment ref="N64" authorId="0" shapeId="0">
      <text>
        <t>Gross receipts tax on local interest — Fin42, New-Build CCGT - Visayas 500MW
Source: naruto / ERC Mid-Merit Financial Model default (ADV model reviewed 9 Oct 2026); unchanged across cases.</t>
      </text>
    </comment>
    <comment ref="O64" authorId="0" shapeId="0">
      <text>
        <t>Gross receipts tax on local interest — Fin42, New-Build OCGT - Visayas 500MW
Source: naruto / ERC Mid-Merit Financial Model default (ADV model reviewed 9 Oct 2026); unchanged across cases.</t>
      </text>
    </comment>
    <comment ref="P64" authorId="0" shapeId="0">
      <text>
        <t>Gross receipts tax on local interest — Fin42, New-Build Gas Engine - Visayas 500MW
Source: naruto / ERC Mid-Merit Financial Model default (ADV model reviewed 9 Oct 2026); unchanged across cases.</t>
      </text>
    </comment>
    <comment ref="Q64" authorId="0" shapeId="0">
      <text>
        <t>Gross receipts tax on local interest — Fin90, Lot 1 Existing CCGT - Luzon
Source: naruto / ERC Mid-Merit Financial Model default (ADV model reviewed 9 Oct 2026); unchanged across cases.</t>
      </text>
    </comment>
    <comment ref="R64" authorId="0" shapeId="0">
      <text>
        <t>Gross receipts tax on local interest — Fin90, Lot 2 Existing CCGT - Luzon
Source: naruto / ERC Mid-Merit Financial Model default (ADV model reviewed 9 Oct 2026); unchanged across cases.</t>
      </text>
    </comment>
    <comment ref="S64" authorId="0" shapeId="0">
      <text>
        <t>Gross receipts tax on local interest — Fin90, New-Build CCGT - Luzon 1000MW
Source: naruto / ERC Mid-Merit Financial Model default (ADV model reviewed 9 Oct 2026); unchanged across cases.</t>
      </text>
    </comment>
    <comment ref="T64" authorId="0" shapeId="0">
      <text>
        <t>Gross receipts tax on local interest — Fin90, New-Build OCGT - Luzon 1000MW
Source: naruto / ERC Mid-Merit Financial Model default (ADV model reviewed 9 Oct 2026); unchanged across cases.</t>
      </text>
    </comment>
    <comment ref="U64" authorId="0" shapeId="0">
      <text>
        <t>Gross receipts tax on local interest — Fin90, New-Build Gas Engine - Luzon 1000MW
Source: naruto / ERC Mid-Merit Financial Model default (ADV model reviewed 9 Oct 2026); unchanged across cases.</t>
      </text>
    </comment>
    <comment ref="V64" authorId="0" shapeId="0">
      <text>
        <t>Gross receipts tax on local interest — Fin90, New-Build CCGT - Visayas 440MW
Source: naruto / ERC Mid-Merit Financial Model default (ADV model reviewed 9 Oct 2026); unchanged across cases.</t>
      </text>
    </comment>
    <comment ref="W64" authorId="0" shapeId="0">
      <text>
        <t>Gross receipts tax on local interest — Fin90, New-Build OCGT - Visayas 440MW
Source: naruto / ERC Mid-Merit Financial Model default (ADV model reviewed 9 Oct 2026); unchanged across cases.</t>
      </text>
    </comment>
    <comment ref="X64" authorId="0" shapeId="0">
      <text>
        <t>Gross receipts tax on local interest — Fin90, New-Build Gas Engine - Visayas 440MW
Source: naruto / ERC Mid-Merit Financial Model default (ADV model reviewed 9 Oct 2026); unchanged across cases.</t>
      </text>
    </comment>
    <comment ref="Y64" authorId="0" shapeId="0">
      <text>
        <t>Gross receipts tax on local interest — Fin90, New-Build CCGT - Visayas 500MW
Source: naruto / ERC Mid-Merit Financial Model default (ADV model reviewed 9 Oct 2026); unchanged across cases.</t>
      </text>
    </comment>
    <comment ref="Z64" authorId="0" shapeId="0">
      <text>
        <t>Gross receipts tax on local interest — Fin90, New-Build OCGT - Visayas 500MW
Source: naruto / ERC Mid-Merit Financial Model default (ADV model reviewed 9 Oct 2026); unchanged across cases.</t>
      </text>
    </comment>
    <comment ref="AA64" authorId="0" shapeId="0">
      <text>
        <t>Gross receipts tax on local interest — Fin90, New-Build Gas Engine - Visayas 500MW
Source: naruto / ERC Mid-Merit Financial Model default (ADV model reviewed 9 Oct 2026); unchanged across cases.</t>
      </text>
    </comment>
    <comment ref="F65" authorId="0" shapeId="0">
      <text>
        <t>Documentary stamp tax — Fin42, Lot 1 Existing CCGT - Luzon
Source: naruto / ERC Mid-Merit Financial Model default (ADV model reviewed 9 Oct 2026); unchanged across cases.</t>
      </text>
    </comment>
    <comment ref="G65" authorId="0" shapeId="0">
      <text>
        <t>Documentary stamp tax — Fin42, Lot 2 Existing CCGT - Luzon
Source: naruto / ERC Mid-Merit Financial Model default (ADV model reviewed 9 Oct 2026); unchanged across cases.</t>
      </text>
    </comment>
    <comment ref="H65" authorId="0" shapeId="0">
      <text>
        <t>Documentary stamp tax — Fin42, New-Build CCGT - Luzon 1000MW
Source: naruto / ERC Mid-Merit Financial Model default (ADV model reviewed 9 Oct 2026); unchanged across cases.</t>
      </text>
    </comment>
    <comment ref="I65" authorId="0" shapeId="0">
      <text>
        <t>Documentary stamp tax — Fin42, New-Build OCGT - Luzon 1000MW
Source: naruto / ERC Mid-Merit Financial Model default (ADV model reviewed 9 Oct 2026); unchanged across cases.</t>
      </text>
    </comment>
    <comment ref="J65" authorId="0" shapeId="0">
      <text>
        <t>Documentary stamp tax — Fin42, New-Build Gas Engine - Luzon 1000MW
Source: naruto / ERC Mid-Merit Financial Model default (ADV model reviewed 9 Oct 2026); unchanged across cases.</t>
      </text>
    </comment>
    <comment ref="K65" authorId="0" shapeId="0">
      <text>
        <t>Documentary stamp tax — Fin42, New-Build CCGT - Visayas 440MW
Source: naruto / ERC Mid-Merit Financial Model default (ADV model reviewed 9 Oct 2026); unchanged across cases.</t>
      </text>
    </comment>
    <comment ref="L65" authorId="0" shapeId="0">
      <text>
        <t>Documentary stamp tax — Fin42, New-Build OCGT - Visayas 440MW
Source: naruto / ERC Mid-Merit Financial Model default (ADV model reviewed 9 Oct 2026); unchanged across cases.</t>
      </text>
    </comment>
    <comment ref="M65" authorId="0" shapeId="0">
      <text>
        <t>Documentary stamp tax — Fin42, New-Build Gas Engine - Visayas 440MW
Source: naruto / ERC Mid-Merit Financial Model default (ADV model reviewed 9 Oct 2026); unchanged across cases.</t>
      </text>
    </comment>
    <comment ref="N65" authorId="0" shapeId="0">
      <text>
        <t>Documentary stamp tax — Fin42, New-Build CCGT - Visayas 500MW
Source: naruto / ERC Mid-Merit Financial Model default (ADV model reviewed 9 Oct 2026); unchanged across cases.</t>
      </text>
    </comment>
    <comment ref="O65" authorId="0" shapeId="0">
      <text>
        <t>Documentary stamp tax — Fin42, New-Build OCGT - Visayas 500MW
Source: naruto / ERC Mid-Merit Financial Model default (ADV model reviewed 9 Oct 2026); unchanged across cases.</t>
      </text>
    </comment>
    <comment ref="P65" authorId="0" shapeId="0">
      <text>
        <t>Documentary stamp tax — Fin42, New-Build Gas Engine - Visayas 500MW
Source: naruto / ERC Mid-Merit Financial Model default (ADV model reviewed 9 Oct 2026); unchanged across cases.</t>
      </text>
    </comment>
    <comment ref="Q65" authorId="0" shapeId="0">
      <text>
        <t>Documentary stamp tax — Fin90, Lot 1 Existing CCGT - Luzon
Source: naruto / ERC Mid-Merit Financial Model default (ADV model reviewed 9 Oct 2026); unchanged across cases.</t>
      </text>
    </comment>
    <comment ref="R65" authorId="0" shapeId="0">
      <text>
        <t>Documentary stamp tax — Fin90, Lot 2 Existing CCGT - Luzon
Source: naruto / ERC Mid-Merit Financial Model default (ADV model reviewed 9 Oct 2026); unchanged across cases.</t>
      </text>
    </comment>
    <comment ref="S65" authorId="0" shapeId="0">
      <text>
        <t>Documentary stamp tax — Fin90, New-Build CCGT - Luzon 1000MW
Source: naruto / ERC Mid-Merit Financial Model default (ADV model reviewed 9 Oct 2026); unchanged across cases.</t>
      </text>
    </comment>
    <comment ref="T65" authorId="0" shapeId="0">
      <text>
        <t>Documentary stamp tax — Fin90, New-Build OCGT - Luzon 1000MW
Source: naruto / ERC Mid-Merit Financial Model default (ADV model reviewed 9 Oct 2026); unchanged across cases.</t>
      </text>
    </comment>
    <comment ref="U65" authorId="0" shapeId="0">
      <text>
        <t>Documentary stamp tax — Fin90, New-Build Gas Engine - Luzon 1000MW
Source: naruto / ERC Mid-Merit Financial Model default (ADV model reviewed 9 Oct 2026); unchanged across cases.</t>
      </text>
    </comment>
    <comment ref="V65" authorId="0" shapeId="0">
      <text>
        <t>Documentary stamp tax — Fin90, New-Build CCGT - Visayas 440MW
Source: naruto / ERC Mid-Merit Financial Model default (ADV model reviewed 9 Oct 2026); unchanged across cases.</t>
      </text>
    </comment>
    <comment ref="W65" authorId="0" shapeId="0">
      <text>
        <t>Documentary stamp tax — Fin90, New-Build OCGT - Visayas 440MW
Source: naruto / ERC Mid-Merit Financial Model default (ADV model reviewed 9 Oct 2026); unchanged across cases.</t>
      </text>
    </comment>
    <comment ref="X65" authorId="0" shapeId="0">
      <text>
        <t>Documentary stamp tax — Fin90, New-Build Gas Engine - Visayas 440MW
Source: naruto / ERC Mid-Merit Financial Model default (ADV model reviewed 9 Oct 2026); unchanged across cases.</t>
      </text>
    </comment>
    <comment ref="Y65" authorId="0" shapeId="0">
      <text>
        <t>Documentary stamp tax — Fin90, New-Build CCGT - Visayas 500MW
Source: naruto / ERC Mid-Merit Financial Model default (ADV model reviewed 9 Oct 2026); unchanged across cases.</t>
      </text>
    </comment>
    <comment ref="Z65" authorId="0" shapeId="0">
      <text>
        <t>Documentary stamp tax — Fin90, New-Build OCGT - Visayas 500MW
Source: naruto / ERC Mid-Merit Financial Model default (ADV model reviewed 9 Oct 2026); unchanged across cases.</t>
      </text>
    </comment>
    <comment ref="AA65" authorId="0" shapeId="0">
      <text>
        <t>Documentary stamp tax — Fin90, New-Build Gas Engine - Visayas 500MW
Source: naruto / ERC Mid-Merit Financial Model default (ADV model reviewed 9 Oct 2026); unchanged across cases.</t>
      </text>
    </comment>
    <comment ref="F66" authorId="0" shapeId="0">
      <text>
        <t>PEZA incentive (% of gross income) — Fin42, Lot 1 Existing CCGT - Luzon
Source: naruto / ERC Mid-Merit Financial Model default (ADV model reviewed 9 Oct 2026); unchanged across cases.</t>
      </text>
    </comment>
    <comment ref="G66" authorId="0" shapeId="0">
      <text>
        <t>PEZA incentive (% of gross income) — Fin42, Lot 2 Existing CCGT - Luzon
Source: naruto / ERC Mid-Merit Financial Model default (ADV model reviewed 9 Oct 2026); unchanged across cases.</t>
      </text>
    </comment>
    <comment ref="H66" authorId="0" shapeId="0">
      <text>
        <t>PEZA incentive (% of gross income) — Fin42, New-Build CCGT - Luzon 1000MW
Source: naruto / ERC Mid-Merit Financial Model default (ADV model reviewed 9 Oct 2026); unchanged across cases.</t>
      </text>
    </comment>
    <comment ref="I66" authorId="0" shapeId="0">
      <text>
        <t>PEZA incentive (% of gross income) — Fin42, New-Build OCGT - Luzon 1000MW
Source: naruto / ERC Mid-Merit Financial Model default (ADV model reviewed 9 Oct 2026); unchanged across cases.</t>
      </text>
    </comment>
    <comment ref="J66" authorId="0" shapeId="0">
      <text>
        <t>PEZA incentive (% of gross income) — Fin42, New-Build Gas Engine - Luzon 1000MW
Source: naruto / ERC Mid-Merit Financial Model default (ADV model reviewed 9 Oct 2026); unchanged across cases.</t>
      </text>
    </comment>
    <comment ref="K66" authorId="0" shapeId="0">
      <text>
        <t>PEZA incentive (% of gross income) — Fin42, New-Build CCGT - Visayas 440MW
Source: naruto / ERC Mid-Merit Financial Model default (ADV model reviewed 9 Oct 2026); unchanged across cases.</t>
      </text>
    </comment>
    <comment ref="L66" authorId="0" shapeId="0">
      <text>
        <t>PEZA incentive (% of gross income) — Fin42, New-Build OCGT - Visayas 440MW
Source: naruto / ERC Mid-Merit Financial Model default (ADV model reviewed 9 Oct 2026); unchanged across cases.</t>
      </text>
    </comment>
    <comment ref="M66" authorId="0" shapeId="0">
      <text>
        <t>PEZA incentive (% of gross income) — Fin42, New-Build Gas Engine - Visayas 440MW
Source: naruto / ERC Mid-Merit Financial Model default (ADV model reviewed 9 Oct 2026); unchanged across cases.</t>
      </text>
    </comment>
    <comment ref="N66" authorId="0" shapeId="0">
      <text>
        <t>PEZA incentive (% of gross income) — Fin42, New-Build CCGT - Visayas 500MW
Source: naruto / ERC Mid-Merit Financial Model default (ADV model reviewed 9 Oct 2026); unchanged across cases.</t>
      </text>
    </comment>
    <comment ref="O66" authorId="0" shapeId="0">
      <text>
        <t>PEZA incentive (% of gross income) — Fin42, New-Build OCGT - Visayas 500MW
Source: naruto / ERC Mid-Merit Financial Model default (ADV model reviewed 9 Oct 2026); unchanged across cases.</t>
      </text>
    </comment>
    <comment ref="P66" authorId="0" shapeId="0">
      <text>
        <t>PEZA incentive (% of gross income) — Fin42, New-Build Gas Engine - Visayas 500MW
Source: naruto / ERC Mid-Merit Financial Model default (ADV model reviewed 9 Oct 2026); unchanged across cases.</t>
      </text>
    </comment>
    <comment ref="Q66" authorId="0" shapeId="0">
      <text>
        <t>PEZA incentive (% of gross income) — Fin90, Lot 1 Existing CCGT - Luzon
Source: naruto / ERC Mid-Merit Financial Model default (ADV model reviewed 9 Oct 2026); unchanged across cases.</t>
      </text>
    </comment>
    <comment ref="R66" authorId="0" shapeId="0">
      <text>
        <t>PEZA incentive (% of gross income) — Fin90, Lot 2 Existing CCGT - Luzon
Source: naruto / ERC Mid-Merit Financial Model default (ADV model reviewed 9 Oct 2026); unchanged across cases.</t>
      </text>
    </comment>
    <comment ref="S66" authorId="0" shapeId="0">
      <text>
        <t>PEZA incentive (% of gross income) — Fin90, New-Build CCGT - Luzon 1000MW
Source: naruto / ERC Mid-Merit Financial Model default (ADV model reviewed 9 Oct 2026); unchanged across cases.</t>
      </text>
    </comment>
    <comment ref="T66" authorId="0" shapeId="0">
      <text>
        <t>PEZA incentive (% of gross income) — Fin90, New-Build OCGT - Luzon 1000MW
Source: naruto / ERC Mid-Merit Financial Model default (ADV model reviewed 9 Oct 2026); unchanged across cases.</t>
      </text>
    </comment>
    <comment ref="U66" authorId="0" shapeId="0">
      <text>
        <t>PEZA incentive (% of gross income) — Fin90, New-Build Gas Engine - Luzon 1000MW
Source: naruto / ERC Mid-Merit Financial Model default (ADV model reviewed 9 Oct 2026); unchanged across cases.</t>
      </text>
    </comment>
    <comment ref="V66" authorId="0" shapeId="0">
      <text>
        <t>PEZA incentive (% of gross income) — Fin90, New-Build CCGT - Visayas 440MW
Source: naruto / ERC Mid-Merit Financial Model default (ADV model reviewed 9 Oct 2026); unchanged across cases.</t>
      </text>
    </comment>
    <comment ref="W66" authorId="0" shapeId="0">
      <text>
        <t>PEZA incentive (% of gross income) — Fin90, New-Build OCGT - Visayas 440MW
Source: naruto / ERC Mid-Merit Financial Model default (ADV model reviewed 9 Oct 2026); unchanged across cases.</t>
      </text>
    </comment>
    <comment ref="X66" authorId="0" shapeId="0">
      <text>
        <t>PEZA incentive (% of gross income) — Fin90, New-Build Gas Engine - Visayas 440MW
Source: naruto / ERC Mid-Merit Financial Model default (ADV model reviewed 9 Oct 2026); unchanged across cases.</t>
      </text>
    </comment>
    <comment ref="Y66" authorId="0" shapeId="0">
      <text>
        <t>PEZA incentive (% of gross income) — Fin90, New-Build CCGT - Visayas 500MW
Source: naruto / ERC Mid-Merit Financial Model default (ADV model reviewed 9 Oct 2026); unchanged across cases.</t>
      </text>
    </comment>
    <comment ref="Z66" authorId="0" shapeId="0">
      <text>
        <t>PEZA incentive (% of gross income) — Fin90, New-Build OCGT - Visayas 500MW
Source: naruto / ERC Mid-Merit Financial Model default (ADV model reviewed 9 Oct 2026); unchanged across cases.</t>
      </text>
    </comment>
    <comment ref="AA66" authorId="0" shapeId="0">
      <text>
        <t>PEZA incentive (% of gross income) — Fin90, New-Build Gas Engine - Visayas 500MW
Source: naruto / ERC Mid-Merit Financial Model default (ADV model reviewed 9 Oct 2026); unchanged across cases.</t>
      </text>
    </comment>
    <comment ref="F67" authorId="0" shapeId="0">
      <text>
        <t>PhP per US$ — Fin42, Lot 1 Existing CCGT - Luzon
Source: BSP reference rate, 25 Sep 2026 (whisper/scripts/cases.py).</t>
      </text>
    </comment>
    <comment ref="G67" authorId="0" shapeId="0">
      <text>
        <t>PhP per US$ — Fin42, Lot 2 Existing CCGT - Luzon
Source: BSP reference rate, 25 Sep 2026 (whisper/scripts/cases.py).</t>
      </text>
    </comment>
    <comment ref="H67" authorId="0" shapeId="0">
      <text>
        <t>PhP per US$ — Fin42, New-Build CCGT - Luzon 1000MW
Source: BSP reference rate, 25 Sep 2026 (whisper/scripts/cases.py).</t>
      </text>
    </comment>
    <comment ref="I67" authorId="0" shapeId="0">
      <text>
        <t>PhP per US$ — Fin42, New-Build OCGT - Luzon 1000MW
Source: BSP reference rate, 25 Sep 2026 (whisper/scripts/cases.py).</t>
      </text>
    </comment>
    <comment ref="J67" authorId="0" shapeId="0">
      <text>
        <t>PhP per US$ — Fin42, New-Build Gas Engine - Luzon 1000MW
Source: BSP reference rate, 25 Sep 2026 (whisper/scripts/cases.py).</t>
      </text>
    </comment>
    <comment ref="K67" authorId="0" shapeId="0">
      <text>
        <t>PhP per US$ — Fin42, New-Build CCGT - Visayas 440MW
Source: BSP reference rate, 25 Sep 2026 (whisper/scripts/cases.py).</t>
      </text>
    </comment>
    <comment ref="L67" authorId="0" shapeId="0">
      <text>
        <t>PhP per US$ — Fin42, New-Build OCGT - Visayas 440MW
Source: BSP reference rate, 25 Sep 2026 (whisper/scripts/cases.py).</t>
      </text>
    </comment>
    <comment ref="M67" authorId="0" shapeId="0">
      <text>
        <t>PhP per US$ — Fin42, New-Build Gas Engine - Visayas 440MW
Source: BSP reference rate, 25 Sep 2026 (whisper/scripts/cases.py).</t>
      </text>
    </comment>
    <comment ref="N67" authorId="0" shapeId="0">
      <text>
        <t>PhP per US$ — Fin42, New-Build CCGT - Visayas 500MW
Source: BSP reference rate, 25 Sep 2026 (whisper/scripts/cases.py).</t>
      </text>
    </comment>
    <comment ref="O67" authorId="0" shapeId="0">
      <text>
        <t>PhP per US$ — Fin42, New-Build OCGT - Visayas 500MW
Source: BSP reference rate, 25 Sep 2026 (whisper/scripts/cases.py).</t>
      </text>
    </comment>
    <comment ref="P67" authorId="0" shapeId="0">
      <text>
        <t>PhP per US$ — Fin42, New-Build Gas Engine - Visayas 500MW
Source: BSP reference rate, 25 Sep 2026 (whisper/scripts/cases.py).</t>
      </text>
    </comment>
    <comment ref="Q67" authorId="0" shapeId="0">
      <text>
        <t>PhP per US$ — Fin90, Lot 1 Existing CCGT - Luzon
Source: BSP reference rate, 25 Sep 2026 (whisper/scripts/cases.py).</t>
      </text>
    </comment>
    <comment ref="R67" authorId="0" shapeId="0">
      <text>
        <t>PhP per US$ — Fin90, Lot 2 Existing CCGT - Luzon
Source: BSP reference rate, 25 Sep 2026 (whisper/scripts/cases.py).</t>
      </text>
    </comment>
    <comment ref="S67" authorId="0" shapeId="0">
      <text>
        <t>PhP per US$ — Fin90, New-Build CCGT - Luzon 1000MW
Source: BSP reference rate, 25 Sep 2026 (whisper/scripts/cases.py).</t>
      </text>
    </comment>
    <comment ref="T67" authorId="0" shapeId="0">
      <text>
        <t>PhP per US$ — Fin90, New-Build OCGT - Luzon 1000MW
Source: BSP reference rate, 25 Sep 2026 (whisper/scripts/cases.py).</t>
      </text>
    </comment>
    <comment ref="U67" authorId="0" shapeId="0">
      <text>
        <t>PhP per US$ — Fin90, New-Build Gas Engine - Luzon 1000MW
Source: BSP reference rate, 25 Sep 2026 (whisper/scripts/cases.py).</t>
      </text>
    </comment>
    <comment ref="V67" authorId="0" shapeId="0">
      <text>
        <t>PhP per US$ — Fin90, New-Build CCGT - Visayas 440MW
Source: BSP reference rate, 25 Sep 2026 (whisper/scripts/cases.py).</t>
      </text>
    </comment>
    <comment ref="W67" authorId="0" shapeId="0">
      <text>
        <t>PhP per US$ — Fin90, New-Build OCGT - Visayas 440MW
Source: BSP reference rate, 25 Sep 2026 (whisper/scripts/cases.py).</t>
      </text>
    </comment>
    <comment ref="X67" authorId="0" shapeId="0">
      <text>
        <t>PhP per US$ — Fin90, New-Build Gas Engine - Visayas 440MW
Source: BSP reference rate, 25 Sep 2026 (whisper/scripts/cases.py).</t>
      </text>
    </comment>
    <comment ref="Y67" authorId="0" shapeId="0">
      <text>
        <t>PhP per US$ — Fin90, New-Build CCGT - Visayas 500MW
Source: BSP reference rate, 25 Sep 2026 (whisper/scripts/cases.py).</t>
      </text>
    </comment>
    <comment ref="Z67" authorId="0" shapeId="0">
      <text>
        <t>PhP per US$ — Fin90, New-Build OCGT - Visayas 500MW
Source: BSP reference rate, 25 Sep 2026 (whisper/scripts/cases.py).</t>
      </text>
    </comment>
    <comment ref="AA67" authorId="0" shapeId="0">
      <text>
        <t>PhP per US$ — Fin90, New-Build Gas Engine - Visayas 500MW
Source: BSP reference rate, 25 Sep 2026 (whisper/scripts/cases.py).</t>
      </text>
    </comment>
    <comment ref="F68" authorId="0" shapeId="0">
      <text>
        <t>ER 1-94 host-community benefit — Fin42, Lot 1 Existing CCGT - Luzon
Source: PhP 0.03/kWh, DOE DC2025-10-0023 (GAIR 8.8.3).</t>
      </text>
    </comment>
    <comment ref="G68" authorId="0" shapeId="0">
      <text>
        <t>ER 1-94 host-community benefit — Fin42, Lot 2 Existing CCGT - Luzon
Source: PhP 0.03/kWh, DOE DC2025-10-0023 (GAIR 8.8.3).</t>
      </text>
    </comment>
    <comment ref="H68" authorId="0" shapeId="0">
      <text>
        <t>ER 1-94 host-community benefit — Fin42, New-Build CCGT - Luzon 1000MW
Source: PhP 0.03/kWh, DOE DC2025-10-0023 (GAIR 8.8.3).</t>
      </text>
    </comment>
    <comment ref="I68" authorId="0" shapeId="0">
      <text>
        <t>ER 1-94 host-community benefit — Fin42, New-Build OCGT - Luzon 1000MW
Source: PhP 0.03/kWh, DOE DC2025-10-0023 (GAIR 8.8.3).</t>
      </text>
    </comment>
    <comment ref="J68" authorId="0" shapeId="0">
      <text>
        <t>ER 1-94 host-community benefit — Fin42, New-Build Gas Engine - Luzon 1000MW
Source: PhP 0.03/kWh, DOE DC2025-10-0023 (GAIR 8.8.3).</t>
      </text>
    </comment>
    <comment ref="K68" authorId="0" shapeId="0">
      <text>
        <t>ER 1-94 host-community benefit — Fin42, New-Build CCGT - Visayas 440MW
Source: PhP 0.03/kWh, DOE DC2025-10-0023 (GAIR 8.8.3).</t>
      </text>
    </comment>
    <comment ref="L68" authorId="0" shapeId="0">
      <text>
        <t>ER 1-94 host-community benefit — Fin42, New-Build OCGT - Visayas 440MW
Source: PhP 0.03/kWh, DOE DC2025-10-0023 (GAIR 8.8.3).</t>
      </text>
    </comment>
    <comment ref="M68" authorId="0" shapeId="0">
      <text>
        <t>ER 1-94 host-community benefit — Fin42, New-Build Gas Engine - Visayas 440MW
Source: PhP 0.03/kWh, DOE DC2025-10-0023 (GAIR 8.8.3).</t>
      </text>
    </comment>
    <comment ref="N68" authorId="0" shapeId="0">
      <text>
        <t>ER 1-94 host-community benefit — Fin42, New-Build CCGT - Visayas 500MW
Source: PhP 0.03/kWh, DOE DC2025-10-0023 (GAIR 8.8.3).</t>
      </text>
    </comment>
    <comment ref="O68" authorId="0" shapeId="0">
      <text>
        <t>ER 1-94 host-community benefit — Fin42, New-Build OCGT - Visayas 500MW
Source: PhP 0.03/kWh, DOE DC2025-10-0023 (GAIR 8.8.3).</t>
      </text>
    </comment>
    <comment ref="P68" authorId="0" shapeId="0">
      <text>
        <t>ER 1-94 host-community benefit — Fin42, New-Build Gas Engine - Visayas 500MW
Source: PhP 0.03/kWh, DOE DC2025-10-0023 (GAIR 8.8.3).</t>
      </text>
    </comment>
    <comment ref="Q68" authorId="0" shapeId="0">
      <text>
        <t>ER 1-94 host-community benefit — Fin90, Lot 1 Existing CCGT - Luzon
Source: PhP 0.03/kWh, DOE DC2025-10-0023 (GAIR 8.8.3).</t>
      </text>
    </comment>
    <comment ref="R68" authorId="0" shapeId="0">
      <text>
        <t>ER 1-94 host-community benefit — Fin90, Lot 2 Existing CCGT - Luzon
Source: PhP 0.03/kWh, DOE DC2025-10-0023 (GAIR 8.8.3).</t>
      </text>
    </comment>
    <comment ref="S68" authorId="0" shapeId="0">
      <text>
        <t>ER 1-94 host-community benefit — Fin90, New-Build CCGT - Luzon 1000MW
Source: PhP 0.03/kWh, DOE DC2025-10-0023 (GAIR 8.8.3).</t>
      </text>
    </comment>
    <comment ref="T68" authorId="0" shapeId="0">
      <text>
        <t>ER 1-94 host-community benefit — Fin90, New-Build OCGT - Luzon 1000MW
Source: PhP 0.03/kWh, DOE DC2025-10-0023 (GAIR 8.8.3).</t>
      </text>
    </comment>
    <comment ref="U68" authorId="0" shapeId="0">
      <text>
        <t>ER 1-94 host-community benefit — Fin90, New-Build Gas Engine - Luzon 1000MW
Source: PhP 0.03/kWh, DOE DC2025-10-0023 (GAIR 8.8.3).</t>
      </text>
    </comment>
    <comment ref="V68" authorId="0" shapeId="0">
      <text>
        <t>ER 1-94 host-community benefit — Fin90, New-Build CCGT - Visayas 440MW
Source: PhP 0.03/kWh, DOE DC2025-10-0023 (GAIR 8.8.3).</t>
      </text>
    </comment>
    <comment ref="W68" authorId="0" shapeId="0">
      <text>
        <t>ER 1-94 host-community benefit — Fin90, New-Build OCGT - Visayas 440MW
Source: PhP 0.03/kWh, DOE DC2025-10-0023 (GAIR 8.8.3).</t>
      </text>
    </comment>
    <comment ref="X68" authorId="0" shapeId="0">
      <text>
        <t>ER 1-94 host-community benefit — Fin90, New-Build Gas Engine - Visayas 440MW
Source: PhP 0.03/kWh, DOE DC2025-10-0023 (GAIR 8.8.3).</t>
      </text>
    </comment>
    <comment ref="Y68" authorId="0" shapeId="0">
      <text>
        <t>ER 1-94 host-community benefit — Fin90, New-Build CCGT - Visayas 500MW
Source: PhP 0.03/kWh, DOE DC2025-10-0023 (GAIR 8.8.3).</t>
      </text>
    </comment>
    <comment ref="Z68" authorId="0" shapeId="0">
      <text>
        <t>ER 1-94 host-community benefit — Fin90, New-Build OCGT - Visayas 500MW
Source: PhP 0.03/kWh, DOE DC2025-10-0023 (GAIR 8.8.3).</t>
      </text>
    </comment>
    <comment ref="AA68" authorId="0" shapeId="0">
      <text>
        <t>ER 1-94 host-community benefit — Fin90, New-Build Gas Engine - Visayas 500MW
Source: PhP 0.03/kWh, DOE DC2025-10-0023 (GAIR 8.8.3).</t>
      </text>
    </comment>
    <comment ref="F69" authorId="0" shapeId="0">
      <text>
        <t>Tax incentive regime — Fin42, Lot 1 Existing CCGT - Luzon
Source: No BOI/PEZA incentive assumed.</t>
      </text>
    </comment>
    <comment ref="G69" authorId="0" shapeId="0">
      <text>
        <t>Tax incentive regime — Fin42, Lot 2 Existing CCGT - Luzon
Source: No BOI/PEZA incentive assumed.</t>
      </text>
    </comment>
    <comment ref="H69" authorId="0" shapeId="0">
      <text>
        <t>Tax incentive regime — Fin42, New-Build CCGT - Luzon 1000MW
Source: No BOI/PEZA incentive assumed.</t>
      </text>
    </comment>
    <comment ref="I69" authorId="0" shapeId="0">
      <text>
        <t>Tax incentive regime — Fin42, New-Build OCGT - Luzon 1000MW
Source: No BOI/PEZA incentive assumed.</t>
      </text>
    </comment>
    <comment ref="J69" authorId="0" shapeId="0">
      <text>
        <t>Tax incentive regime — Fin42, New-Build Gas Engine - Luzon 1000MW
Source: No BOI/PEZA incentive assumed.</t>
      </text>
    </comment>
    <comment ref="K69" authorId="0" shapeId="0">
      <text>
        <t>Tax incentive regime — Fin42, New-Build CCGT - Visayas 440MW
Source: No BOI/PEZA incentive assumed.</t>
      </text>
    </comment>
    <comment ref="L69" authorId="0" shapeId="0">
      <text>
        <t>Tax incentive regime — Fin42, New-Build OCGT - Visayas 440MW
Source: No BOI/PEZA incentive assumed.</t>
      </text>
    </comment>
    <comment ref="M69" authorId="0" shapeId="0">
      <text>
        <t>Tax incentive regime — Fin42, New-Build Gas Engine - Visayas 440MW
Source: No BOI/PEZA incentive assumed.</t>
      </text>
    </comment>
    <comment ref="N69" authorId="0" shapeId="0">
      <text>
        <t>Tax incentive regime — Fin42, New-Build CCGT - Visayas 500MW
Source: No BOI/PEZA incentive assumed.</t>
      </text>
    </comment>
    <comment ref="O69" authorId="0" shapeId="0">
      <text>
        <t>Tax incentive regime — Fin42, New-Build OCGT - Visayas 500MW
Source: No BOI/PEZA incentive assumed.</t>
      </text>
    </comment>
    <comment ref="P69" authorId="0" shapeId="0">
      <text>
        <t>Tax incentive regime — Fin42, New-Build Gas Engine - Visayas 500MW
Source: No BOI/PEZA incentive assumed.</t>
      </text>
    </comment>
    <comment ref="Q69" authorId="0" shapeId="0">
      <text>
        <t>Tax incentive regime — Fin90, Lot 1 Existing CCGT - Luzon
Source: No BOI/PEZA incentive assumed.</t>
      </text>
    </comment>
    <comment ref="R69" authorId="0" shapeId="0">
      <text>
        <t>Tax incentive regime — Fin90, Lot 2 Existing CCGT - Luzon
Source: No BOI/PEZA incentive assumed.</t>
      </text>
    </comment>
    <comment ref="S69" authorId="0" shapeId="0">
      <text>
        <t>Tax incentive regime — Fin90, New-Build CCGT - Luzon 1000MW
Source: No BOI/PEZA incentive assumed.</t>
      </text>
    </comment>
    <comment ref="T69" authorId="0" shapeId="0">
      <text>
        <t>Tax incentive regime — Fin90, New-Build OCGT - Luzon 1000MW
Source: No BOI/PEZA incentive assumed.</t>
      </text>
    </comment>
    <comment ref="U69" authorId="0" shapeId="0">
      <text>
        <t>Tax incentive regime — Fin90, New-Build Gas Engine - Luzon 1000MW
Source: No BOI/PEZA incentive assumed.</t>
      </text>
    </comment>
    <comment ref="V69" authorId="0" shapeId="0">
      <text>
        <t>Tax incentive regime — Fin90, New-Build CCGT - Visayas 440MW
Source: No BOI/PEZA incentive assumed.</t>
      </text>
    </comment>
    <comment ref="W69" authorId="0" shapeId="0">
      <text>
        <t>Tax incentive regime — Fin90, New-Build OCGT - Visayas 440MW
Source: No BOI/PEZA incentive assumed.</t>
      </text>
    </comment>
    <comment ref="X69" authorId="0" shapeId="0">
      <text>
        <t>Tax incentive regime — Fin90, New-Build Gas Engine - Visayas 440MW
Source: No BOI/PEZA incentive assumed.</t>
      </text>
    </comment>
    <comment ref="Y69" authorId="0" shapeId="0">
      <text>
        <t>Tax incentive regime — Fin90, New-Build CCGT - Visayas 500MW
Source: No BOI/PEZA incentive assumed.</t>
      </text>
    </comment>
    <comment ref="Z69" authorId="0" shapeId="0">
      <text>
        <t>Tax incentive regime — Fin90, New-Build OCGT - Visayas 500MW
Source: No BOI/PEZA incentive assumed.</t>
      </text>
    </comment>
    <comment ref="AA69" authorId="0" shapeId="0">
      <text>
        <t>Tax incentive regime — Fin90, New-Build Gas Engine - Visayas 500MW
Source: No BOI/PEZA incentive assumed.</t>
      </text>
    </comment>
    <comment ref="F70" authorId="0" shapeId="0">
      <text>
        <t>Days receivable / payable — Fin42, Lot 1 Existing CCGT - Luzon
Source: naruto / ERC Mid-Merit Financial Model default (ADV model reviewed 9 Oct 2026); unchanged across cases.</t>
      </text>
    </comment>
    <comment ref="G70" authorId="0" shapeId="0">
      <text>
        <t>Days receivable / payable — Fin42, Lot 2 Existing CCGT - Luzon
Source: naruto / ERC Mid-Merit Financial Model default (ADV model reviewed 9 Oct 2026); unchanged across cases.</t>
      </text>
    </comment>
    <comment ref="H70" authorId="0" shapeId="0">
      <text>
        <t>Days receivable / payable — Fin42, New-Build CCGT - Luzon 1000MW
Source: naruto / ERC Mid-Merit Financial Model default (ADV model reviewed 9 Oct 2026); unchanged across cases.</t>
      </text>
    </comment>
    <comment ref="I70" authorId="0" shapeId="0">
      <text>
        <t>Days receivable / payable — Fin42, New-Build OCGT - Luzon 1000MW
Source: naruto / ERC Mid-Merit Financial Model default (ADV model reviewed 9 Oct 2026); unchanged across cases.</t>
      </text>
    </comment>
    <comment ref="J70" authorId="0" shapeId="0">
      <text>
        <t>Days receivable / payable — Fin42, New-Build Gas Engine - Luzon 1000MW
Source: naruto / ERC Mid-Merit Financial Model default (ADV model reviewed 9 Oct 2026); unchanged across cases.</t>
      </text>
    </comment>
    <comment ref="K70" authorId="0" shapeId="0">
      <text>
        <t>Days receivable / payable — Fin42, New-Build CCGT - Visayas 440MW
Source: naruto / ERC Mid-Merit Financial Model default (ADV model reviewed 9 Oct 2026); unchanged across cases.</t>
      </text>
    </comment>
    <comment ref="L70" authorId="0" shapeId="0">
      <text>
        <t>Days receivable / payable — Fin42, New-Build OCGT - Visayas 440MW
Source: naruto / ERC Mid-Merit Financial Model default (ADV model reviewed 9 Oct 2026); unchanged across cases.</t>
      </text>
    </comment>
    <comment ref="M70" authorId="0" shapeId="0">
      <text>
        <t>Days receivable / payable — Fin42, New-Build Gas Engine - Visayas 440MW
Source: naruto / ERC Mid-Merit Financial Model default (ADV model reviewed 9 Oct 2026); unchanged across cases.</t>
      </text>
    </comment>
    <comment ref="N70" authorId="0" shapeId="0">
      <text>
        <t>Days receivable / payable — Fin42, New-Build CCGT - Visayas 500MW
Source: naruto / ERC Mid-Merit Financial Model default (ADV model reviewed 9 Oct 2026); unchanged across cases.</t>
      </text>
    </comment>
    <comment ref="O70" authorId="0" shapeId="0">
      <text>
        <t>Days receivable / payable — Fin42, New-Build OCGT - Visayas 500MW
Source: naruto / ERC Mid-Merit Financial Model default (ADV model reviewed 9 Oct 2026); unchanged across cases.</t>
      </text>
    </comment>
    <comment ref="P70" authorId="0" shapeId="0">
      <text>
        <t>Days receivable / payable — Fin42, New-Build Gas Engine - Visayas 500MW
Source: naruto / ERC Mid-Merit Financial Model default (ADV model reviewed 9 Oct 2026); unchanged across cases.</t>
      </text>
    </comment>
    <comment ref="Q70" authorId="0" shapeId="0">
      <text>
        <t>Days receivable / payable — Fin90, Lot 1 Existing CCGT - Luzon
Source: naruto / ERC Mid-Merit Financial Model default (ADV model reviewed 9 Oct 2026); unchanged across cases.</t>
      </text>
    </comment>
    <comment ref="R70" authorId="0" shapeId="0">
      <text>
        <t>Days receivable / payable — Fin90, Lot 2 Existing CCGT - Luzon
Source: naruto / ERC Mid-Merit Financial Model default (ADV model reviewed 9 Oct 2026); unchanged across cases.</t>
      </text>
    </comment>
    <comment ref="S70" authorId="0" shapeId="0">
      <text>
        <t>Days receivable / payable — Fin90, New-Build CCGT - Luzon 1000MW
Source: naruto / ERC Mid-Merit Financial Model default (ADV model reviewed 9 Oct 2026); unchanged across cases.</t>
      </text>
    </comment>
    <comment ref="T70" authorId="0" shapeId="0">
      <text>
        <t>Days receivable / payable — Fin90, New-Build OCGT - Luzon 1000MW
Source: naruto / ERC Mid-Merit Financial Model default (ADV model reviewed 9 Oct 2026); unchanged across cases.</t>
      </text>
    </comment>
    <comment ref="U70" authorId="0" shapeId="0">
      <text>
        <t>Days receivable / payable — Fin90, New-Build Gas Engine - Luzon 1000MW
Source: naruto / ERC Mid-Merit Financial Model default (ADV model reviewed 9 Oct 2026); unchanged across cases.</t>
      </text>
    </comment>
    <comment ref="V70" authorId="0" shapeId="0">
      <text>
        <t>Days receivable / payable — Fin90, New-Build CCGT - Visayas 440MW
Source: naruto / ERC Mid-Merit Financial Model default (ADV model reviewed 9 Oct 2026); unchanged across cases.</t>
      </text>
    </comment>
    <comment ref="W70" authorId="0" shapeId="0">
      <text>
        <t>Days receivable / payable — Fin90, New-Build OCGT - Visayas 440MW
Source: naruto / ERC Mid-Merit Financial Model default (ADV model reviewed 9 Oct 2026); unchanged across cases.</t>
      </text>
    </comment>
    <comment ref="X70" authorId="0" shapeId="0">
      <text>
        <t>Days receivable / payable — Fin90, New-Build Gas Engine - Visayas 440MW
Source: naruto / ERC Mid-Merit Financial Model default (ADV model reviewed 9 Oct 2026); unchanged across cases.</t>
      </text>
    </comment>
    <comment ref="Y70" authorId="0" shapeId="0">
      <text>
        <t>Days receivable / payable — Fin90, New-Build CCGT - Visayas 500MW
Source: naruto / ERC Mid-Merit Financial Model default (ADV model reviewed 9 Oct 2026); unchanged across cases.</t>
      </text>
    </comment>
    <comment ref="Z70" authorId="0" shapeId="0">
      <text>
        <t>Days receivable / payable — Fin90, New-Build OCGT - Visayas 500MW
Source: naruto / ERC Mid-Merit Financial Model default (ADV model reviewed 9 Oct 2026); unchanged across cases.</t>
      </text>
    </comment>
    <comment ref="AA70" authorId="0" shapeId="0">
      <text>
        <t>Days receivable / payable — Fin90, New-Build Gas Engine - Visayas 500MW
Source: naruto / ERC Mid-Merit Financial Model default (ADV model reviewed 9 Oct 2026); unchanged across cases.</t>
      </text>
    </comment>
    <comment ref="F71" authorId="0" shapeId="0">
      <text>
        <t>Local / US inflation for OPEX — Fin42, Lot 1 Existing CCGT - Luzon
Source: 0%: real terms; the GAT Price is not indexed (GAIR 8.9).</t>
      </text>
    </comment>
    <comment ref="G71" authorId="0" shapeId="0">
      <text>
        <t>Local / US inflation for OPEX — Fin42, Lot 2 Existing CCGT - Luzon
Source: 0%: real terms; the GAT Price is not indexed (GAIR 8.9).</t>
      </text>
    </comment>
    <comment ref="H71" authorId="0" shapeId="0">
      <text>
        <t>Local / US inflation for OPEX — Fin42, New-Build CCGT - Luzon 1000MW
Source: 0%: real terms; the GAT Price is not indexed (GAIR 8.9).</t>
      </text>
    </comment>
    <comment ref="I71" authorId="0" shapeId="0">
      <text>
        <t>Local / US inflation for OPEX — Fin42, New-Build OCGT - Luzon 1000MW
Source: 0%: real terms; the GAT Price is not indexed (GAIR 8.9).</t>
      </text>
    </comment>
    <comment ref="J71" authorId="0" shapeId="0">
      <text>
        <t>Local / US inflation for OPEX — Fin42, New-Build Gas Engine - Luzon 1000MW
Source: 0%: real terms; the GAT Price is not indexed (GAIR 8.9).</t>
      </text>
    </comment>
    <comment ref="K71" authorId="0" shapeId="0">
      <text>
        <t>Local / US inflation for OPEX — Fin42, New-Build CCGT - Visayas 440MW
Source: 0%: real terms; the GAT Price is not indexed (GAIR 8.9).</t>
      </text>
    </comment>
    <comment ref="L71" authorId="0" shapeId="0">
      <text>
        <t>Local / US inflation for OPEX — Fin42, New-Build OCGT - Visayas 440MW
Source: 0%: real terms; the GAT Price is not indexed (GAIR 8.9).</t>
      </text>
    </comment>
    <comment ref="M71" authorId="0" shapeId="0">
      <text>
        <t>Local / US inflation for OPEX — Fin42, New-Build Gas Engine - Visayas 440MW
Source: 0%: real terms; the GAT Price is not indexed (GAIR 8.9).</t>
      </text>
    </comment>
    <comment ref="N71" authorId="0" shapeId="0">
      <text>
        <t>Local / US inflation for OPEX — Fin42, New-Build CCGT - Visayas 500MW
Source: 0%: real terms; the GAT Price is not indexed (GAIR 8.9).</t>
      </text>
    </comment>
    <comment ref="O71" authorId="0" shapeId="0">
      <text>
        <t>Local / US inflation for OPEX — Fin42, New-Build OCGT - Visayas 500MW
Source: 0%: real terms; the GAT Price is not indexed (GAIR 8.9).</t>
      </text>
    </comment>
    <comment ref="P71" authorId="0" shapeId="0">
      <text>
        <t>Local / US inflation for OPEX — Fin42, New-Build Gas Engine - Visayas 500MW
Source: 0%: real terms; the GAT Price is not indexed (GAIR 8.9).</t>
      </text>
    </comment>
    <comment ref="Q71" authorId="0" shapeId="0">
      <text>
        <t>Local / US inflation for OPEX — Fin90, Lot 1 Existing CCGT - Luzon
Source: 0%: real terms; the GAT Price is not indexed (GAIR 8.9).</t>
      </text>
    </comment>
    <comment ref="R71" authorId="0" shapeId="0">
      <text>
        <t>Local / US inflation for OPEX — Fin90, Lot 2 Existing CCGT - Luzon
Source: 0%: real terms; the GAT Price is not indexed (GAIR 8.9).</t>
      </text>
    </comment>
    <comment ref="S71" authorId="0" shapeId="0">
      <text>
        <t>Local / US inflation for OPEX — Fin90, New-Build CCGT - Luzon 1000MW
Source: 0%: real terms; the GAT Price is not indexed (GAIR 8.9).</t>
      </text>
    </comment>
    <comment ref="T71" authorId="0" shapeId="0">
      <text>
        <t>Local / US inflation for OPEX — Fin90, New-Build OCGT - Luzon 1000MW
Source: 0%: real terms; the GAT Price is not indexed (GAIR 8.9).</t>
      </text>
    </comment>
    <comment ref="U71" authorId="0" shapeId="0">
      <text>
        <t>Local / US inflation for OPEX — Fin90, New-Build Gas Engine - Luzon 1000MW
Source: 0%: real terms; the GAT Price is not indexed (GAIR 8.9).</t>
      </text>
    </comment>
    <comment ref="V71" authorId="0" shapeId="0">
      <text>
        <t>Local / US inflation for OPEX — Fin90, New-Build CCGT - Visayas 440MW
Source: 0%: real terms; the GAT Price is not indexed (GAIR 8.9).</t>
      </text>
    </comment>
    <comment ref="W71" authorId="0" shapeId="0">
      <text>
        <t>Local / US inflation for OPEX — Fin90, New-Build OCGT - Visayas 440MW
Source: 0%: real terms; the GAT Price is not indexed (GAIR 8.9).</t>
      </text>
    </comment>
    <comment ref="X71" authorId="0" shapeId="0">
      <text>
        <t>Local / US inflation for OPEX — Fin90, New-Build Gas Engine - Visayas 440MW
Source: 0%: real terms; the GAT Price is not indexed (GAIR 8.9).</t>
      </text>
    </comment>
    <comment ref="Y71" authorId="0" shapeId="0">
      <text>
        <t>Local / US inflation for OPEX — Fin90, New-Build CCGT - Visayas 500MW
Source: 0%: real terms; the GAT Price is not indexed (GAIR 8.9).</t>
      </text>
    </comment>
    <comment ref="Z71" authorId="0" shapeId="0">
      <text>
        <t>Local / US inflation for OPEX — Fin90, New-Build OCGT - Visayas 500MW
Source: 0%: real terms; the GAT Price is not indexed (GAIR 8.9).</t>
      </text>
    </comment>
    <comment ref="AA71" authorId="0" shapeId="0">
      <text>
        <t>Local / US inflation for OPEX — Fin90, New-Build Gas Engine - Visayas 500MW
Source: 0%: real terms; the GAT Price is not indexed (GAIR 8.9).</t>
      </text>
    </comment>
    <comment ref="F73" authorId="0" shapeId="0">
      <text>
        <t>GAT Price (excl. fuel) — Fin42, Lot 1 Existing CCGT - Luzon
Source: Solved: equity NPV = 0 at Re (Goal Seek G28 = 0 by changing F30). Main result.</t>
      </text>
    </comment>
    <comment ref="G73" authorId="0" shapeId="0">
      <text>
        <t>GAT Price (excl. fuel) — Fin42, Lot 2 Existing CCGT - Luzon
Source: Solved: equity NPV = 0 at Re (Goal Seek G28 = 0 by changing F30). Main result.</t>
      </text>
    </comment>
    <comment ref="H73" authorId="0" shapeId="0">
      <text>
        <t>GAT Price (excl. fuel) — Fin42, New-Build CCGT - Luzon 1000MW
Source: Solved: equity NPV = 0 at Re (Goal Seek G28 = 0 by changing F30). Main result.</t>
      </text>
    </comment>
    <comment ref="I73" authorId="0" shapeId="0">
      <text>
        <t>GAT Price (excl. fuel) — Fin42, New-Build OCGT - Luzon 1000MW
Source: Solved: equity NPV = 0 at Re (Goal Seek G28 = 0 by changing F30). Main result.</t>
      </text>
    </comment>
    <comment ref="J73" authorId="0" shapeId="0">
      <text>
        <t>GAT Price (excl. fuel) — Fin42, New-Build Gas Engine - Luzon 1000MW
Source: Solved: equity NPV = 0 at Re (Goal Seek G28 = 0 by changing F30). Main result.</t>
      </text>
    </comment>
    <comment ref="K73" authorId="0" shapeId="0">
      <text>
        <t>GAT Price (excl. fuel) — Fin42, New-Build CCGT - Visayas 440MW
Source: Solved: equity NPV = 0 at Re (Goal Seek G28 = 0 by changing F30). Main result.</t>
      </text>
    </comment>
    <comment ref="L73" authorId="0" shapeId="0">
      <text>
        <t>GAT Price (excl. fuel) — Fin42, New-Build OCGT - Visayas 440MW
Source: Solved: equity NPV = 0 at Re (Goal Seek G28 = 0 by changing F30). Main result.</t>
      </text>
    </comment>
    <comment ref="M73" authorId="0" shapeId="0">
      <text>
        <t>GAT Price (excl. fuel) — Fin42, New-Build Gas Engine - Visayas 440MW
Source: Solved: equity NPV = 0 at Re (Goal Seek G28 = 0 by changing F30). Main result.</t>
      </text>
    </comment>
    <comment ref="N73" authorId="0" shapeId="0">
      <text>
        <t>GAT Price (excl. fuel) — Fin42, New-Build CCGT - Visayas 500MW
Source: Solved: equity NPV = 0 at Re (Goal Seek G28 = 0 by changing F30). Main result.</t>
      </text>
    </comment>
    <comment ref="O73" authorId="0" shapeId="0">
      <text>
        <t>GAT Price (excl. fuel) — Fin42, New-Build OCGT - Visayas 500MW
Source: Solved: equity NPV = 0 at Re (Goal Seek G28 = 0 by changing F30). Main result.</t>
      </text>
    </comment>
    <comment ref="P73" authorId="0" shapeId="0">
      <text>
        <t>GAT Price (excl. fuel) — Fin42, New-Build Gas Engine - Visayas 500MW
Source: Solved: equity NPV = 0 at Re (Goal Seek G28 = 0 by changing F30). Main result.</t>
      </text>
    </comment>
    <comment ref="Q73" authorId="0" shapeId="0">
      <text>
        <t>GAT Price (excl. fuel) — Fin90, Lot 1 Existing CCGT - Luzon
Source: Solved: equity NPV = 0 at Re (Goal Seek G28 = 0 by changing F30). Main result.</t>
      </text>
    </comment>
    <comment ref="R73" authorId="0" shapeId="0">
      <text>
        <t>GAT Price (excl. fuel) — Fin90, Lot 2 Existing CCGT - Luzon
Source: Solved: equity NPV = 0 at Re (Goal Seek G28 = 0 by changing F30). Main result.</t>
      </text>
    </comment>
    <comment ref="S73" authorId="0" shapeId="0">
      <text>
        <t>GAT Price (excl. fuel) — Fin90, New-Build CCGT - Luzon 1000MW
Source: Solved: equity NPV = 0 at Re (Goal Seek G28 = 0 by changing F30). Main result.</t>
      </text>
    </comment>
    <comment ref="T73" authorId="0" shapeId="0">
      <text>
        <t>GAT Price (excl. fuel) — Fin90, New-Build OCGT - Luzon 1000MW
Source: Solved: equity NPV = 0 at Re (Goal Seek G28 = 0 by changing F30). Main result.</t>
      </text>
    </comment>
    <comment ref="U73" authorId="0" shapeId="0">
      <text>
        <t>GAT Price (excl. fuel) — Fin90, New-Build Gas Engine - Luzon 1000MW
Source: Solved: equity NPV = 0 at Re (Goal Seek G28 = 0 by changing F30). Main result.</t>
      </text>
    </comment>
    <comment ref="V73" authorId="0" shapeId="0">
      <text>
        <t>GAT Price (excl. fuel) — Fin90, New-Build CCGT - Visayas 440MW
Source: Solved: equity NPV = 0 at Re (Goal Seek G28 = 0 by changing F30). Main result.</t>
      </text>
    </comment>
    <comment ref="W73" authorId="0" shapeId="0">
      <text>
        <t>GAT Price (excl. fuel) — Fin90, New-Build OCGT - Visayas 440MW
Source: Solved: equity NPV = 0 at Re (Goal Seek G28 = 0 by changing F30). Main result.</t>
      </text>
    </comment>
    <comment ref="X73" authorId="0" shapeId="0">
      <text>
        <t>GAT Price (excl. fuel) — Fin90, New-Build Gas Engine - Visayas 440MW
Source: Solved: equity NPV = 0 at Re (Goal Seek G28 = 0 by changing F30). Main result.</t>
      </text>
    </comment>
    <comment ref="Y73" authorId="0" shapeId="0">
      <text>
        <t>GAT Price (excl. fuel) — Fin90, New-Build CCGT - Visayas 500MW
Source: Solved: equity NPV = 0 at Re (Goal Seek G28 = 0 by changing F30). Main result.</t>
      </text>
    </comment>
    <comment ref="Z73" authorId="0" shapeId="0">
      <text>
        <t>GAT Price (excl. fuel) — Fin90, New-Build OCGT - Visayas 500MW
Source: Solved: equity NPV = 0 at Re (Goal Seek G28 = 0 by changing F30). Main result.</t>
      </text>
    </comment>
    <comment ref="AA73" authorId="0" shapeId="0">
      <text>
        <t>GAT Price (excl. fuel) — Fin90, New-Build Gas Engine - Visayas 500MW
Source: Solved: equity NPV = 0 at Re (Goal Seek G28 = 0 by changing F30). Main result.</t>
      </text>
    </comment>
    <comment ref="F74" authorId="0" shapeId="0">
      <text>
        <t>Capital recovery (first year) — Fin42, Lot 1 Existing CCGT - Luzon
Source: Tariff Breakdown A4 x PhP/US$.</t>
      </text>
    </comment>
    <comment ref="G74" authorId="0" shapeId="0">
      <text>
        <t>Capital recovery (first year) — Fin42, Lot 2 Existing CCGT - Luzon
Source: Tariff Breakdown A4 x PhP/US$.</t>
      </text>
    </comment>
    <comment ref="H74" authorId="0" shapeId="0">
      <text>
        <t>Capital recovery (first year) — Fin42, New-Build CCGT - Luzon 1000MW
Source: Tariff Breakdown A4 x PhP/US$.</t>
      </text>
    </comment>
    <comment ref="I74" authorId="0" shapeId="0">
      <text>
        <t>Capital recovery (first year) — Fin42, New-Build OCGT - Luzon 1000MW
Source: Tariff Breakdown A4 x PhP/US$.</t>
      </text>
    </comment>
    <comment ref="J74" authorId="0" shapeId="0">
      <text>
        <t>Capital recovery (first year) — Fin42, New-Build Gas Engine - Luzon 1000MW
Source: Tariff Breakdown A4 x PhP/US$.</t>
      </text>
    </comment>
    <comment ref="K74" authorId="0" shapeId="0">
      <text>
        <t>Capital recovery (first year) — Fin42, New-Build CCGT - Visayas 440MW
Source: Tariff Breakdown A4 x PhP/US$.</t>
      </text>
    </comment>
    <comment ref="L74" authorId="0" shapeId="0">
      <text>
        <t>Capital recovery (first year) — Fin42, New-Build OCGT - Visayas 440MW
Source: Tariff Breakdown A4 x PhP/US$.</t>
      </text>
    </comment>
    <comment ref="M74" authorId="0" shapeId="0">
      <text>
        <t>Capital recovery (first year) — Fin42, New-Build Gas Engine - Visayas 440MW
Source: Tariff Breakdown A4 x PhP/US$.</t>
      </text>
    </comment>
    <comment ref="N74" authorId="0" shapeId="0">
      <text>
        <t>Capital recovery (first year) — Fin42, New-Build CCGT - Visayas 500MW
Source: Tariff Breakdown A4 x PhP/US$.</t>
      </text>
    </comment>
    <comment ref="O74" authorId="0" shapeId="0">
      <text>
        <t>Capital recovery (first year) — Fin42, New-Build OCGT - Visayas 500MW
Source: Tariff Breakdown A4 x PhP/US$.</t>
      </text>
    </comment>
    <comment ref="P74" authorId="0" shapeId="0">
      <text>
        <t>Capital recovery (first year) — Fin42, New-Build Gas Engine - Visayas 500MW
Source: Tariff Breakdown A4 x PhP/US$.</t>
      </text>
    </comment>
    <comment ref="Q74" authorId="0" shapeId="0">
      <text>
        <t>Capital recovery (first year) — Fin90, Lot 1 Existing CCGT - Luzon
Source: Tariff Breakdown A4 x PhP/US$.</t>
      </text>
    </comment>
    <comment ref="R74" authorId="0" shapeId="0">
      <text>
        <t>Capital recovery (first year) — Fin90, Lot 2 Existing CCGT - Luzon
Source: Tariff Breakdown A4 x PhP/US$.</t>
      </text>
    </comment>
    <comment ref="S74" authorId="0" shapeId="0">
      <text>
        <t>Capital recovery (first year) — Fin90, New-Build CCGT - Luzon 1000MW
Source: Tariff Breakdown A4 x PhP/US$.</t>
      </text>
    </comment>
    <comment ref="T74" authorId="0" shapeId="0">
      <text>
        <t>Capital recovery (first year) — Fin90, New-Build OCGT - Luzon 1000MW
Source: Tariff Breakdown A4 x PhP/US$.</t>
      </text>
    </comment>
    <comment ref="U74" authorId="0" shapeId="0">
      <text>
        <t>Capital recovery (first year) — Fin90, New-Build Gas Engine - Luzon 1000MW
Source: Tariff Breakdown A4 x PhP/US$.</t>
      </text>
    </comment>
    <comment ref="V74" authorId="0" shapeId="0">
      <text>
        <t>Capital recovery (first year) — Fin90, New-Build CCGT - Visayas 440MW
Source: Tariff Breakdown A4 x PhP/US$.</t>
      </text>
    </comment>
    <comment ref="W74" authorId="0" shapeId="0">
      <text>
        <t>Capital recovery (first year) — Fin90, New-Build OCGT - Visayas 440MW
Source: Tariff Breakdown A4 x PhP/US$.</t>
      </text>
    </comment>
    <comment ref="X74" authorId="0" shapeId="0">
      <text>
        <t>Capital recovery (first year) — Fin90, New-Build Gas Engine - Visayas 440MW
Source: Tariff Breakdown A4 x PhP/US$.</t>
      </text>
    </comment>
    <comment ref="Y74" authorId="0" shapeId="0">
      <text>
        <t>Capital recovery (first year) — Fin90, New-Build CCGT - Visayas 500MW
Source: Tariff Breakdown A4 x PhP/US$.</t>
      </text>
    </comment>
    <comment ref="Z74" authorId="0" shapeId="0">
      <text>
        <t>Capital recovery (first year) — Fin90, New-Build OCGT - Visayas 500MW
Source: Tariff Breakdown A4 x PhP/US$.</t>
      </text>
    </comment>
    <comment ref="AA74" authorId="0" shapeId="0">
      <text>
        <t>Capital recovery (first year) — Fin90, New-Build Gas Engine - Visayas 500MW
Source: Tariff Breakdown A4 x PhP/US$.</t>
      </text>
    </comment>
    <comment ref="F75" authorId="0" shapeId="0">
      <text>
        <t>Fixed O&amp;M, G&amp;A, taxes (first year) — Fin42, Lot 1 Existing CCGT - Luzon
Source: Tariff Breakdown A5 x PhP/US$.</t>
      </text>
    </comment>
    <comment ref="G75" authorId="0" shapeId="0">
      <text>
        <t>Fixed O&amp;M, G&amp;A, taxes (first year) — Fin42, Lot 2 Existing CCGT - Luzon
Source: Tariff Breakdown A5 x PhP/US$.</t>
      </text>
    </comment>
    <comment ref="H75" authorId="0" shapeId="0">
      <text>
        <t>Fixed O&amp;M, G&amp;A, taxes (first year) — Fin42, New-Build CCGT - Luzon 1000MW
Source: Tariff Breakdown A5 x PhP/US$.</t>
      </text>
    </comment>
    <comment ref="I75" authorId="0" shapeId="0">
      <text>
        <t>Fixed O&amp;M, G&amp;A, taxes (first year) — Fin42, New-Build OCGT - Luzon 1000MW
Source: Tariff Breakdown A5 x PhP/US$.</t>
      </text>
    </comment>
    <comment ref="J75" authorId="0" shapeId="0">
      <text>
        <t>Fixed O&amp;M, G&amp;A, taxes (first year) — Fin42, New-Build Gas Engine - Luzon 1000MW
Source: Tariff Breakdown A5 x PhP/US$.</t>
      </text>
    </comment>
    <comment ref="K75" authorId="0" shapeId="0">
      <text>
        <t>Fixed O&amp;M, G&amp;A, taxes (first year) — Fin42, New-Build CCGT - Visayas 440MW
Source: Tariff Breakdown A5 x PhP/US$.</t>
      </text>
    </comment>
    <comment ref="L75" authorId="0" shapeId="0">
      <text>
        <t>Fixed O&amp;M, G&amp;A, taxes (first year) — Fin42, New-Build OCGT - Visayas 440MW
Source: Tariff Breakdown A5 x PhP/US$.</t>
      </text>
    </comment>
    <comment ref="M75" authorId="0" shapeId="0">
      <text>
        <t>Fixed O&amp;M, G&amp;A, taxes (first year) — Fin42, New-Build Gas Engine - Visayas 440MW
Source: Tariff Breakdown A5 x PhP/US$.</t>
      </text>
    </comment>
    <comment ref="N75" authorId="0" shapeId="0">
      <text>
        <t>Fixed O&amp;M, G&amp;A, taxes (first year) — Fin42, New-Build CCGT - Visayas 500MW
Source: Tariff Breakdown A5 x PhP/US$.</t>
      </text>
    </comment>
    <comment ref="O75" authorId="0" shapeId="0">
      <text>
        <t>Fixed O&amp;M, G&amp;A, taxes (first year) — Fin42, New-Build OCGT - Visayas 500MW
Source: Tariff Breakdown A5 x PhP/US$.</t>
      </text>
    </comment>
    <comment ref="P75" authorId="0" shapeId="0">
      <text>
        <t>Fixed O&amp;M, G&amp;A, taxes (first year) — Fin42, New-Build Gas Engine - Visayas 500MW
Source: Tariff Breakdown A5 x PhP/US$.</t>
      </text>
    </comment>
    <comment ref="Q75" authorId="0" shapeId="0">
      <text>
        <t>Fixed O&amp;M, G&amp;A, taxes (first year) — Fin90, Lot 1 Existing CCGT - Luzon
Source: Tariff Breakdown A5 x PhP/US$.</t>
      </text>
    </comment>
    <comment ref="R75" authorId="0" shapeId="0">
      <text>
        <t>Fixed O&amp;M, G&amp;A, taxes (first year) — Fin90, Lot 2 Existing CCGT - Luzon
Source: Tariff Breakdown A5 x PhP/US$.</t>
      </text>
    </comment>
    <comment ref="S75" authorId="0" shapeId="0">
      <text>
        <t>Fixed O&amp;M, G&amp;A, taxes (first year) — Fin90, New-Build CCGT - Luzon 1000MW
Source: Tariff Breakdown A5 x PhP/US$.</t>
      </text>
    </comment>
    <comment ref="T75" authorId="0" shapeId="0">
      <text>
        <t>Fixed O&amp;M, G&amp;A, taxes (first year) — Fin90, New-Build OCGT - Luzon 1000MW
Source: Tariff Breakdown A5 x PhP/US$.</t>
      </text>
    </comment>
    <comment ref="U75" authorId="0" shapeId="0">
      <text>
        <t>Fixed O&amp;M, G&amp;A, taxes (first year) — Fin90, New-Build Gas Engine - Luzon 1000MW
Source: Tariff Breakdown A5 x PhP/US$.</t>
      </text>
    </comment>
    <comment ref="V75" authorId="0" shapeId="0">
      <text>
        <t>Fixed O&amp;M, G&amp;A, taxes (first year) — Fin90, New-Build CCGT - Visayas 440MW
Source: Tariff Breakdown A5 x PhP/US$.</t>
      </text>
    </comment>
    <comment ref="W75" authorId="0" shapeId="0">
      <text>
        <t>Fixed O&amp;M, G&amp;A, taxes (first year) — Fin90, New-Build OCGT - Visayas 440MW
Source: Tariff Breakdown A5 x PhP/US$.</t>
      </text>
    </comment>
    <comment ref="X75" authorId="0" shapeId="0">
      <text>
        <t>Fixed O&amp;M, G&amp;A, taxes (first year) — Fin90, New-Build Gas Engine - Visayas 440MW
Source: Tariff Breakdown A5 x PhP/US$.</t>
      </text>
    </comment>
    <comment ref="Y75" authorId="0" shapeId="0">
      <text>
        <t>Fixed O&amp;M, G&amp;A, taxes (first year) — Fin90, New-Build CCGT - Visayas 500MW
Source: Tariff Breakdown A5 x PhP/US$.</t>
      </text>
    </comment>
    <comment ref="Z75" authorId="0" shapeId="0">
      <text>
        <t>Fixed O&amp;M, G&amp;A, taxes (first year) — Fin90, New-Build OCGT - Visayas 500MW
Source: Tariff Breakdown A5 x PhP/US$.</t>
      </text>
    </comment>
    <comment ref="AA75" authorId="0" shapeId="0">
      <text>
        <t>Fixed O&amp;M, G&amp;A, taxes (first year) — Fin90, New-Build Gas Engine - Visayas 500MW
Source: Tariff Breakdown A5 x PhP/US$.</t>
      </text>
    </comment>
    <comment ref="F76" authorId="0" shapeId="0">
      <text>
        <t>Variable O&amp;M + logistics (first year) — Fin42, Lot 1 Existing CCGT - Luzon
Source: Tariff Breakdown A9 x PhP/US$.</t>
      </text>
    </comment>
    <comment ref="G76" authorId="0" shapeId="0">
      <text>
        <t>Variable O&amp;M + logistics (first year) — Fin42, Lot 2 Existing CCGT - Luzon
Source: Tariff Breakdown A9 x PhP/US$.</t>
      </text>
    </comment>
    <comment ref="H76" authorId="0" shapeId="0">
      <text>
        <t>Variable O&amp;M + logistics (first year) — Fin42, New-Build CCGT - Luzon 1000MW
Source: Tariff Breakdown A9 x PhP/US$.</t>
      </text>
    </comment>
    <comment ref="I76" authorId="0" shapeId="0">
      <text>
        <t>Variable O&amp;M + logistics (first year) — Fin42, New-Build OCGT - Luzon 1000MW
Source: Tariff Breakdown A9 x PhP/US$.</t>
      </text>
    </comment>
    <comment ref="J76" authorId="0" shapeId="0">
      <text>
        <t>Variable O&amp;M + logistics (first year) — Fin42, New-Build Gas Engine - Luzon 1000MW
Source: Tariff Breakdown A9 x PhP/US$.</t>
      </text>
    </comment>
    <comment ref="K76" authorId="0" shapeId="0">
      <text>
        <t>Variable O&amp;M + logistics (first year) — Fin42, New-Build CCGT - Visayas 440MW
Source: Tariff Breakdown A9 x PhP/US$.</t>
      </text>
    </comment>
    <comment ref="L76" authorId="0" shapeId="0">
      <text>
        <t>Variable O&amp;M + logistics (first year) — Fin42, New-Build OCGT - Visayas 440MW
Source: Tariff Breakdown A9 x PhP/US$.</t>
      </text>
    </comment>
    <comment ref="M76" authorId="0" shapeId="0">
      <text>
        <t>Variable O&amp;M + logistics (first year) — Fin42, New-Build Gas Engine - Visayas 440MW
Source: Tariff Breakdown A9 x PhP/US$.</t>
      </text>
    </comment>
    <comment ref="N76" authorId="0" shapeId="0">
      <text>
        <t>Variable O&amp;M + logistics (first year) — Fin42, New-Build CCGT - Visayas 500MW
Source: Tariff Breakdown A9 x PhP/US$.</t>
      </text>
    </comment>
    <comment ref="O76" authorId="0" shapeId="0">
      <text>
        <t>Variable O&amp;M + logistics (first year) — Fin42, New-Build OCGT - Visayas 500MW
Source: Tariff Breakdown A9 x PhP/US$.</t>
      </text>
    </comment>
    <comment ref="P76" authorId="0" shapeId="0">
      <text>
        <t>Variable O&amp;M + logistics (first year) — Fin42, New-Build Gas Engine - Visayas 500MW
Source: Tariff Breakdown A9 x PhP/US$.</t>
      </text>
    </comment>
    <comment ref="Q76" authorId="0" shapeId="0">
      <text>
        <t>Variable O&amp;M + logistics (first year) — Fin90, Lot 1 Existing CCGT - Luzon
Source: Tariff Breakdown A9 x PhP/US$.</t>
      </text>
    </comment>
    <comment ref="R76" authorId="0" shapeId="0">
      <text>
        <t>Variable O&amp;M + logistics (first year) — Fin90, Lot 2 Existing CCGT - Luzon
Source: Tariff Breakdown A9 x PhP/US$.</t>
      </text>
    </comment>
    <comment ref="S76" authorId="0" shapeId="0">
      <text>
        <t>Variable O&amp;M + logistics (first year) — Fin90, New-Build CCGT - Luzon 1000MW
Source: Tariff Breakdown A9 x PhP/US$.</t>
      </text>
    </comment>
    <comment ref="T76" authorId="0" shapeId="0">
      <text>
        <t>Variable O&amp;M + logistics (first year) — Fin90, New-Build OCGT - Luzon 1000MW
Source: Tariff Breakdown A9 x PhP/US$.</t>
      </text>
    </comment>
    <comment ref="U76" authorId="0" shapeId="0">
      <text>
        <t>Variable O&amp;M + logistics (first year) — Fin90, New-Build Gas Engine - Luzon 1000MW
Source: Tariff Breakdown A9 x PhP/US$.</t>
      </text>
    </comment>
    <comment ref="V76" authorId="0" shapeId="0">
      <text>
        <t>Variable O&amp;M + logistics (first year) — Fin90, New-Build CCGT - Visayas 440MW
Source: Tariff Breakdown A9 x PhP/US$.</t>
      </text>
    </comment>
    <comment ref="W76" authorId="0" shapeId="0">
      <text>
        <t>Variable O&amp;M + logistics (first year) — Fin90, New-Build OCGT - Visayas 440MW
Source: Tariff Breakdown A9 x PhP/US$.</t>
      </text>
    </comment>
    <comment ref="X76" authorId="0" shapeId="0">
      <text>
        <t>Variable O&amp;M + logistics (first year) — Fin90, New-Build Gas Engine - Visayas 440MW
Source: Tariff Breakdown A9 x PhP/US$.</t>
      </text>
    </comment>
    <comment ref="Y76" authorId="0" shapeId="0">
      <text>
        <t>Variable O&amp;M + logistics (first year) — Fin90, New-Build CCGT - Visayas 500MW
Source: Tariff Breakdown A9 x PhP/US$.</t>
      </text>
    </comment>
    <comment ref="Z76" authorId="0" shapeId="0">
      <text>
        <t>Variable O&amp;M + logistics (first year) — Fin90, New-Build OCGT - Visayas 500MW
Source: Tariff Breakdown A9 x PhP/US$.</t>
      </text>
    </comment>
    <comment ref="AA76" authorId="0" shapeId="0">
      <text>
        <t>Variable O&amp;M + logistics (first year) — Fin90, New-Build Gas Engine - Visayas 500MW
Source: Tariff Breakdown A9 x PhP/US$.</t>
      </text>
    </comment>
    <comment ref="F78" authorId="0" shapeId="0">
      <text>
        <t>Equity IRR — Fin42, Lot 1 Existing CCGT - Luzon
Source: Equals Re when solved.</t>
      </text>
    </comment>
    <comment ref="G78" authorId="0" shapeId="0">
      <text>
        <t>Equity IRR — Fin42, Lot 2 Existing CCGT - Luzon
Source: Equals Re when solved.</t>
      </text>
    </comment>
    <comment ref="H78" authorId="0" shapeId="0">
      <text>
        <t>Equity IRR — Fin42, New-Build CCGT - Luzon 1000MW
Source: Equals Re when solved.</t>
      </text>
    </comment>
    <comment ref="I78" authorId="0" shapeId="0">
      <text>
        <t>Equity IRR — Fin42, New-Build OCGT - Luzon 1000MW
Source: Equals Re when solved.</t>
      </text>
    </comment>
    <comment ref="J78" authorId="0" shapeId="0">
      <text>
        <t>Equity IRR — Fin42, New-Build Gas Engine - Luzon 1000MW
Source: Equals Re when solved.</t>
      </text>
    </comment>
    <comment ref="K78" authorId="0" shapeId="0">
      <text>
        <t>Equity IRR — Fin42, New-Build CCGT - Visayas 440MW
Source: Equals Re when solved.</t>
      </text>
    </comment>
    <comment ref="L78" authorId="0" shapeId="0">
      <text>
        <t>Equity IRR — Fin42, New-Build OCGT - Visayas 440MW
Source: Equals Re when solved.</t>
      </text>
    </comment>
    <comment ref="M78" authorId="0" shapeId="0">
      <text>
        <t>Equity IRR — Fin42, New-Build Gas Engine - Visayas 440MW
Source: Equals Re when solved.</t>
      </text>
    </comment>
    <comment ref="N78" authorId="0" shapeId="0">
      <text>
        <t>Equity IRR — Fin42, New-Build CCGT - Visayas 500MW
Source: Equals Re when solved.</t>
      </text>
    </comment>
    <comment ref="O78" authorId="0" shapeId="0">
      <text>
        <t>Equity IRR — Fin42, New-Build OCGT - Visayas 500MW
Source: Equals Re when solved.</t>
      </text>
    </comment>
    <comment ref="P78" authorId="0" shapeId="0">
      <text>
        <t>Equity IRR — Fin42, New-Build Gas Engine - Visayas 500MW
Source: Equals Re when solved.</t>
      </text>
    </comment>
    <comment ref="Q78" authorId="0" shapeId="0">
      <text>
        <t>Equity IRR — Fin90, Lot 1 Existing CCGT - Luzon
Source: Equals Re when solved.</t>
      </text>
    </comment>
    <comment ref="R78" authorId="0" shapeId="0">
      <text>
        <t>Equity IRR — Fin90, Lot 2 Existing CCGT - Luzon
Source: Equals Re when solved.</t>
      </text>
    </comment>
    <comment ref="S78" authorId="0" shapeId="0">
      <text>
        <t>Equity IRR — Fin90, New-Build CCGT - Luzon 1000MW
Source: Equals Re when solved.</t>
      </text>
    </comment>
    <comment ref="T78" authorId="0" shapeId="0">
      <text>
        <t>Equity IRR — Fin90, New-Build OCGT - Luzon 1000MW
Source: Equals Re when solved.</t>
      </text>
    </comment>
    <comment ref="U78" authorId="0" shapeId="0">
      <text>
        <t>Equity IRR — Fin90, New-Build Gas Engine - Luzon 1000MW
Source: Equals Re when solved.</t>
      </text>
    </comment>
    <comment ref="V78" authorId="0" shapeId="0">
      <text>
        <t>Equity IRR — Fin90, New-Build CCGT - Visayas 440MW
Source: Equals Re when solved.</t>
      </text>
    </comment>
    <comment ref="W78" authorId="0" shapeId="0">
      <text>
        <t>Equity IRR — Fin90, New-Build OCGT - Visayas 440MW
Source: Equals Re when solved.</t>
      </text>
    </comment>
    <comment ref="X78" authorId="0" shapeId="0">
      <text>
        <t>Equity IRR — Fin90, New-Build Gas Engine - Visayas 440MW
Source: Equals Re when solved.</t>
      </text>
    </comment>
    <comment ref="Y78" authorId="0" shapeId="0">
      <text>
        <t>Equity IRR — Fin90, New-Build CCGT - Visayas 500MW
Source: Equals Re when solved.</t>
      </text>
    </comment>
    <comment ref="Z78" authorId="0" shapeId="0">
      <text>
        <t>Equity IRR — Fin90, New-Build OCGT - Visayas 500MW
Source: Equals Re when solved.</t>
      </text>
    </comment>
    <comment ref="AA78" authorId="0" shapeId="0">
      <text>
        <t>Equity IRR — Fin90, New-Build Gas Engine - Visayas 500MW
Source: Equals Re when solved.</t>
      </text>
    </comment>
    <comment ref="F79" authorId="0" shapeId="0">
      <text>
        <t>Project IRR — Fin42, Lot 1 Existing CCGT - Luzon
Source: Model result.</t>
      </text>
    </comment>
    <comment ref="G79" authorId="0" shapeId="0">
      <text>
        <t>Project IRR — Fin42, Lot 2 Existing CCGT - Luzon
Source: Model result.</t>
      </text>
    </comment>
    <comment ref="H79" authorId="0" shapeId="0">
      <text>
        <t>Project IRR — Fin42, New-Build CCGT - Luzon 1000MW
Source: Model result.</t>
      </text>
    </comment>
    <comment ref="I79" authorId="0" shapeId="0">
      <text>
        <t>Project IRR — Fin42, New-Build OCGT - Luzon 1000MW
Source: Model result.</t>
      </text>
    </comment>
    <comment ref="J79" authorId="0" shapeId="0">
      <text>
        <t>Project IRR — Fin42, New-Build Gas Engine - Luzon 1000MW
Source: Model result.</t>
      </text>
    </comment>
    <comment ref="K79" authorId="0" shapeId="0">
      <text>
        <t>Project IRR — Fin42, New-Build CCGT - Visayas 440MW
Source: Model result.</t>
      </text>
    </comment>
    <comment ref="L79" authorId="0" shapeId="0">
      <text>
        <t>Project IRR — Fin42, New-Build OCGT - Visayas 440MW
Source: Model result.</t>
      </text>
    </comment>
    <comment ref="M79" authorId="0" shapeId="0">
      <text>
        <t>Project IRR — Fin42, New-Build Gas Engine - Visayas 440MW
Source: Model result.</t>
      </text>
    </comment>
    <comment ref="N79" authorId="0" shapeId="0">
      <text>
        <t>Project IRR — Fin42, New-Build CCGT - Visayas 500MW
Source: Model result.</t>
      </text>
    </comment>
    <comment ref="O79" authorId="0" shapeId="0">
      <text>
        <t>Project IRR — Fin42, New-Build OCGT - Visayas 500MW
Source: Model result.</t>
      </text>
    </comment>
    <comment ref="P79" authorId="0" shapeId="0">
      <text>
        <t>Project IRR — Fin42, New-Build Gas Engine - Visayas 500MW
Source: Model result.</t>
      </text>
    </comment>
    <comment ref="Q79" authorId="0" shapeId="0">
      <text>
        <t>Project IRR — Fin90, Lot 1 Existing CCGT - Luzon
Source: Model result.</t>
      </text>
    </comment>
    <comment ref="R79" authorId="0" shapeId="0">
      <text>
        <t>Project IRR — Fin90, Lot 2 Existing CCGT - Luzon
Source: Model result.</t>
      </text>
    </comment>
    <comment ref="S79" authorId="0" shapeId="0">
      <text>
        <t>Project IRR — Fin90, New-Build CCGT - Luzon 1000MW
Source: Model result.</t>
      </text>
    </comment>
    <comment ref="T79" authorId="0" shapeId="0">
      <text>
        <t>Project IRR — Fin90, New-Build OCGT - Luzon 1000MW
Source: Model result.</t>
      </text>
    </comment>
    <comment ref="U79" authorId="0" shapeId="0">
      <text>
        <t>Project IRR — Fin90, New-Build Gas Engine - Luzon 1000MW
Source: Model result.</t>
      </text>
    </comment>
    <comment ref="V79" authorId="0" shapeId="0">
      <text>
        <t>Project IRR — Fin90, New-Build CCGT - Visayas 440MW
Source: Model result.</t>
      </text>
    </comment>
    <comment ref="W79" authorId="0" shapeId="0">
      <text>
        <t>Project IRR — Fin90, New-Build OCGT - Visayas 440MW
Source: Model result.</t>
      </text>
    </comment>
    <comment ref="X79" authorId="0" shapeId="0">
      <text>
        <t>Project IRR — Fin90, New-Build Gas Engine - Visayas 440MW
Source: Model result.</t>
      </text>
    </comment>
    <comment ref="Y79" authorId="0" shapeId="0">
      <text>
        <t>Project IRR — Fin90, New-Build CCGT - Visayas 500MW
Source: Model result.</t>
      </text>
    </comment>
    <comment ref="Z79" authorId="0" shapeId="0">
      <text>
        <t>Project IRR — Fin90, New-Build OCGT - Visayas 500MW
Source: Model result.</t>
      </text>
    </comment>
    <comment ref="AA79" authorId="0" shapeId="0">
      <text>
        <t>Project IRR — Fin90, New-Build Gas Engine - Visayas 500MW
Source: Model result.</t>
      </text>
    </comment>
    <comment ref="F80" authorId="0" shapeId="0">
      <text>
        <t>First-year energy — Fin42, Lot 1 Existing CCGT - Luzon
Source: Installed MW x CF x 8,760.</t>
      </text>
    </comment>
    <comment ref="G80" authorId="0" shapeId="0">
      <text>
        <t>First-year energy — Fin42, Lot 2 Existing CCGT - Luzon
Source: Installed MW x CF x 8,760.</t>
      </text>
    </comment>
    <comment ref="H80" authorId="0" shapeId="0">
      <text>
        <t>First-year energy — Fin42, New-Build CCGT - Luzon 1000MW
Source: Installed MW x CF x 8,760.</t>
      </text>
    </comment>
    <comment ref="I80" authorId="0" shapeId="0">
      <text>
        <t>First-year energy — Fin42, New-Build OCGT - Luzon 1000MW
Source: Installed MW x CF x 8,760.</t>
      </text>
    </comment>
    <comment ref="J80" authorId="0" shapeId="0">
      <text>
        <t>First-year energy — Fin42, New-Build Gas Engine - Luzon 1000MW
Source: Installed MW x CF x 8,760.</t>
      </text>
    </comment>
    <comment ref="K80" authorId="0" shapeId="0">
      <text>
        <t>First-year energy — Fin42, New-Build CCGT - Visayas 440MW
Source: Installed MW x CF x 8,760.</t>
      </text>
    </comment>
    <comment ref="L80" authorId="0" shapeId="0">
      <text>
        <t>First-year energy — Fin42, New-Build OCGT - Visayas 440MW
Source: Installed MW x CF x 8,760.</t>
      </text>
    </comment>
    <comment ref="M80" authorId="0" shapeId="0">
      <text>
        <t>First-year energy — Fin42, New-Build Gas Engine - Visayas 440MW
Source: Installed MW x CF x 8,760.</t>
      </text>
    </comment>
    <comment ref="N80" authorId="0" shapeId="0">
      <text>
        <t>First-year energy — Fin42, New-Build CCGT - Visayas 500MW
Source: Installed MW x CF x 8,760.</t>
      </text>
    </comment>
    <comment ref="O80" authorId="0" shapeId="0">
      <text>
        <t>First-year energy — Fin42, New-Build OCGT - Visayas 500MW
Source: Installed MW x CF x 8,760.</t>
      </text>
    </comment>
    <comment ref="P80" authorId="0" shapeId="0">
      <text>
        <t>First-year energy — Fin42, New-Build Gas Engine - Visayas 500MW
Source: Installed MW x CF x 8,760.</t>
      </text>
    </comment>
    <comment ref="Q80" authorId="0" shapeId="0">
      <text>
        <t>First-year energy — Fin90, Lot 1 Existing CCGT - Luzon
Source: Installed MW x CF x 8,760.</t>
      </text>
    </comment>
    <comment ref="R80" authorId="0" shapeId="0">
      <text>
        <t>First-year energy — Fin90, Lot 2 Existing CCGT - Luzon
Source: Installed MW x CF x 8,760.</t>
      </text>
    </comment>
    <comment ref="S80" authorId="0" shapeId="0">
      <text>
        <t>First-year energy — Fin90, New-Build CCGT - Luzon 1000MW
Source: Installed MW x CF x 8,760.</t>
      </text>
    </comment>
    <comment ref="T80" authorId="0" shapeId="0">
      <text>
        <t>First-year energy — Fin90, New-Build OCGT - Luzon 1000MW
Source: Installed MW x CF x 8,760.</t>
      </text>
    </comment>
    <comment ref="U80" authorId="0" shapeId="0">
      <text>
        <t>First-year energy — Fin90, New-Build Gas Engine - Luzon 1000MW
Source: Installed MW x CF x 8,760.</t>
      </text>
    </comment>
    <comment ref="V80" authorId="0" shapeId="0">
      <text>
        <t>First-year energy — Fin90, New-Build CCGT - Visayas 440MW
Source: Installed MW x CF x 8,760.</t>
      </text>
    </comment>
    <comment ref="W80" authorId="0" shapeId="0">
      <text>
        <t>First-year energy — Fin90, New-Build OCGT - Visayas 440MW
Source: Installed MW x CF x 8,760.</t>
      </text>
    </comment>
    <comment ref="X80" authorId="0" shapeId="0">
      <text>
        <t>First-year energy — Fin90, New-Build Gas Engine - Visayas 440MW
Source: Installed MW x CF x 8,760.</t>
      </text>
    </comment>
    <comment ref="Y80" authorId="0" shapeId="0">
      <text>
        <t>First-year energy — Fin90, New-Build CCGT - Visayas 500MW
Source: Installed MW x CF x 8,760.</t>
      </text>
    </comment>
    <comment ref="Z80" authorId="0" shapeId="0">
      <text>
        <t>First-year energy — Fin90, New-Build OCGT - Visayas 500MW
Source: Installed MW x CF x 8,760.</t>
      </text>
    </comment>
    <comment ref="AA80" authorId="0" shapeId="0">
      <text>
        <t>First-year energy — Fin90, New-Build Gas Engine - Visayas 500MW
Source: Installed MW x CF x 8,760.</t>
      </text>
    </comment>
    <comment ref="F81" authorId="0" shapeId="0">
      <text>
        <t>Model file — Fin42, Lot 1 Existing CCGT - Luzon
Source: File in FinModel/Fin42/ (password yolo).</t>
      </text>
    </comment>
    <comment ref="G81" authorId="0" shapeId="0">
      <text>
        <t>Model file — Fin42, Lot 2 Existing CCGT - Luzon
Source: File in FinModel/Fin42/ (password yolo).</t>
      </text>
    </comment>
    <comment ref="H81" authorId="0" shapeId="0">
      <text>
        <t>Model file — Fin42, New-Build CCGT - Luzon 1000MW
Source: File in FinModel/Fin42/ (password yolo).</t>
      </text>
    </comment>
    <comment ref="I81" authorId="0" shapeId="0">
      <text>
        <t>Model file — Fin42, New-Build OCGT - Luzon 1000MW
Source: File in FinModel/Fin42/ (password yolo).</t>
      </text>
    </comment>
    <comment ref="J81" authorId="0" shapeId="0">
      <text>
        <t>Model file — Fin42, New-Build Gas Engine - Luzon 1000MW
Source: File in FinModel/Fin42/ (password yolo).</t>
      </text>
    </comment>
    <comment ref="K81" authorId="0" shapeId="0">
      <text>
        <t>Model file — Fin42, New-Build CCGT - Visayas 440MW
Source: File in FinModel/Fin42/ (password yolo).</t>
      </text>
    </comment>
    <comment ref="L81" authorId="0" shapeId="0">
      <text>
        <t>Model file — Fin42, New-Build OCGT - Visayas 440MW
Source: File in FinModel/Fin42/ (password yolo).</t>
      </text>
    </comment>
    <comment ref="M81" authorId="0" shapeId="0">
      <text>
        <t>Model file — Fin42, New-Build Gas Engine - Visayas 440MW
Source: File in FinModel/Fin42/ (password yolo).</t>
      </text>
    </comment>
    <comment ref="N81" authorId="0" shapeId="0">
      <text>
        <t>Model file — Fin42, New-Build CCGT - Visayas 500MW
Source: File in FinModel/Fin42/ (password yolo).</t>
      </text>
    </comment>
    <comment ref="O81" authorId="0" shapeId="0">
      <text>
        <t>Model file — Fin42, New-Build OCGT - Visayas 500MW
Source: File in FinModel/Fin42/ (password yolo).</t>
      </text>
    </comment>
    <comment ref="P81" authorId="0" shapeId="0">
      <text>
        <t>Model file — Fin42, New-Build Gas Engine - Visayas 500MW
Source: File in FinModel/Fin42/ (password yolo).</t>
      </text>
    </comment>
    <comment ref="Q81" authorId="0" shapeId="0">
      <text>
        <t>Model file — Fin90, Lot 1 Existing CCGT - Luzon
Source: File in FinModel/Fin90/ (password yolo).</t>
      </text>
    </comment>
    <comment ref="R81" authorId="0" shapeId="0">
      <text>
        <t>Model file — Fin90, Lot 2 Existing CCGT - Luzon
Source: File in FinModel/Fin90/ (password yolo).</t>
      </text>
    </comment>
    <comment ref="S81" authorId="0" shapeId="0">
      <text>
        <t>Model file — Fin90, New-Build CCGT - Luzon 1000MW
Source: File in FinModel/Fin90/ (password yolo).</t>
      </text>
    </comment>
    <comment ref="T81" authorId="0" shapeId="0">
      <text>
        <t>Model file — Fin90, New-Build OCGT - Luzon 1000MW
Source: File in FinModel/Fin90/ (password yolo).</t>
      </text>
    </comment>
    <comment ref="U81" authorId="0" shapeId="0">
      <text>
        <t>Model file — Fin90, New-Build Gas Engine - Luzon 1000MW
Source: File in FinModel/Fin90/ (password yolo).</t>
      </text>
    </comment>
    <comment ref="V81" authorId="0" shapeId="0">
      <text>
        <t>Model file — Fin90, New-Build CCGT - Visayas 440MW
Source: File in FinModel/Fin90/ (password yolo).</t>
      </text>
    </comment>
    <comment ref="W81" authorId="0" shapeId="0">
      <text>
        <t>Model file — Fin90, New-Build OCGT - Visayas 440MW
Source: File in FinModel/Fin90/ (password yolo).</t>
      </text>
    </comment>
    <comment ref="X81" authorId="0" shapeId="0">
      <text>
        <t>Model file — Fin90, New-Build Gas Engine - Visayas 440MW
Source: File in FinModel/Fin90/ (password yolo).</t>
      </text>
    </comment>
    <comment ref="Y81" authorId="0" shapeId="0">
      <text>
        <t>Model file — Fin90, New-Build CCGT - Visayas 500MW
Source: File in FinModel/Fin90/ (password yolo).</t>
      </text>
    </comment>
    <comment ref="Z81" authorId="0" shapeId="0">
      <text>
        <t>Model file — Fin90, New-Build OCGT - Visayas 500MW
Source: File in FinModel/Fin90/ (password yolo).</t>
      </text>
    </comment>
    <comment ref="AA81" authorId="0" shapeId="0">
      <text>
        <t>Model file — Fin90, New-Build Gas Engine - Visayas 500MW
Source: File in FinModel/Fin90/ (password yolo).</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col>
      <colOff>0</colOff>
      <row>8</row>
      <rowOff>0</rowOff>
    </from>
    <ext cx="9906000" cy="47244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35</row>
      <rowOff>0</rowOff>
    </from>
    <ext cx="9906000" cy="4114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18</col>
      <colOff>0</colOff>
      <row>3</row>
      <rowOff>0</rowOff>
    </from>
    <ext cx="612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23</row>
      <rowOff>0</rowOff>
    </from>
    <ext cx="612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P59"/>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30" customHeight="1">
      <c r="A1" s="68" t="inlineStr">
        <is>
          <t>GAT Price (GATP) dashboard – Mid-Merit Natural Gas Capacity Auction</t>
        </is>
      </c>
      <c r="B1" s="69" t="n"/>
      <c r="C1" s="69" t="n"/>
      <c r="D1" s="69" t="n"/>
      <c r="E1" s="69" t="n"/>
      <c r="F1" s="69" t="n"/>
      <c r="G1" s="69" t="n"/>
      <c r="H1" s="69" t="n"/>
      <c r="I1" s="69" t="n"/>
      <c r="J1" s="69" t="n"/>
      <c r="K1" s="69" t="n"/>
      <c r="L1" s="69" t="n"/>
      <c r="M1" s="69" t="n"/>
      <c r="N1" s="69" t="n"/>
      <c r="O1" s="69" t="n"/>
      <c r="P1" s="69" t="n"/>
    </row>
    <row r="2">
      <c r="A2" s="70" t="inlineStr">
        <is>
          <t>Decision of 19 Oct 2026 (GAIR Sec. 8.6): GATP = CRF + OM. The Capped Landed Logistics Cost (CLLC) is paid through the Fuel Cost, not the GATP. PhP/kWh, excluding fuel.</t>
        </is>
      </c>
      <c r="B2" s="69" t="n"/>
      <c r="C2" s="69" t="n"/>
      <c r="D2" s="69" t="n"/>
      <c r="E2" s="69" t="n"/>
      <c r="F2" s="69" t="n"/>
      <c r="G2" s="69" t="n"/>
      <c r="H2" s="69" t="n"/>
      <c r="I2" s="69" t="n"/>
      <c r="J2" s="69" t="n"/>
      <c r="K2" s="69" t="n"/>
      <c r="L2" s="69" t="n"/>
      <c r="M2" s="69" t="n"/>
      <c r="N2" s="69" t="n"/>
      <c r="O2" s="69" t="n"/>
      <c r="P2" s="69" t="n"/>
    </row>
    <row r="4">
      <c r="B4" s="71" t="inlineStr">
        <is>
          <t>Existing CCGT (Lots 1–2)</t>
        </is>
      </c>
      <c r="C4" s="72" t="n"/>
      <c r="D4" s="72" t="n"/>
      <c r="F4" s="71" t="inlineStr">
        <is>
          <t>New CCGT</t>
        </is>
      </c>
      <c r="G4" s="72" t="n"/>
      <c r="H4" s="72" t="n"/>
      <c r="J4" s="71" t="inlineStr">
        <is>
          <t>New OCGT</t>
        </is>
      </c>
      <c r="K4" s="72" t="n"/>
      <c r="L4" s="72" t="n"/>
      <c r="N4" s="71" t="inlineStr">
        <is>
          <t>New gas engine</t>
        </is>
      </c>
      <c r="O4" s="72" t="n"/>
      <c r="P4" s="72" t="n"/>
    </row>
    <row r="5" ht="30" customHeight="1">
      <c r="B5" s="73" t="inlineStr">
        <is>
          <t>1.09 – 1.72</t>
        </is>
      </c>
      <c r="C5" s="72" t="n"/>
      <c r="D5" s="72" t="n"/>
      <c r="F5" s="73" t="inlineStr">
        <is>
          <t>2.04 – 2.99</t>
        </is>
      </c>
      <c r="G5" s="72" t="n"/>
      <c r="H5" s="72" t="n"/>
      <c r="J5" s="73" t="inlineStr">
        <is>
          <t>1.40 – 1.94</t>
        </is>
      </c>
      <c r="K5" s="72" t="n"/>
      <c r="L5" s="72" t="n"/>
      <c r="N5" s="73" t="inlineStr">
        <is>
          <t>2.08 – 2.97</t>
        </is>
      </c>
      <c r="O5" s="72" t="n"/>
      <c r="P5" s="72" t="n"/>
    </row>
    <row r="6">
      <c r="B6" s="74" t="inlineStr">
        <is>
          <t>PhP/kWh GATP (Fin90 – Fin42)</t>
        </is>
      </c>
      <c r="C6" s="72" t="n"/>
      <c r="D6" s="72" t="n"/>
      <c r="F6" s="74" t="inlineStr">
        <is>
          <t>PhP/kWh GATP (Fin90 – Fin42)</t>
        </is>
      </c>
      <c r="G6" s="72" t="n"/>
      <c r="H6" s="72" t="n"/>
      <c r="J6" s="74" t="inlineStr">
        <is>
          <t>PhP/kWh GATP (Fin90 – Fin42)</t>
        </is>
      </c>
      <c r="K6" s="72" t="n"/>
      <c r="L6" s="72" t="n"/>
      <c r="N6" s="74" t="inlineStr">
        <is>
          <t>PhP/kWh GATP (Fin90 – Fin42)</t>
        </is>
      </c>
      <c r="O6" s="72" t="n"/>
      <c r="P6" s="72" t="n"/>
    </row>
    <row r="7">
      <c r="B7" s="75" t="inlineStr">
        <is>
          <t>CRF + OM only</t>
        </is>
      </c>
      <c r="C7" s="76" t="n"/>
      <c r="D7" s="76" t="n"/>
      <c r="F7" s="75" t="inlineStr">
        <is>
          <t>CRF + OM only</t>
        </is>
      </c>
      <c r="G7" s="76" t="n"/>
      <c r="H7" s="76" t="n"/>
      <c r="J7" s="75" t="inlineStr">
        <is>
          <t>CRF + OM only</t>
        </is>
      </c>
      <c r="K7" s="76" t="n"/>
      <c r="L7" s="76" t="n"/>
      <c r="N7" s="75" t="inlineStr">
        <is>
          <t>CRF + OM only</t>
        </is>
      </c>
      <c r="O7" s="76" t="n"/>
      <c r="P7" s="76" t="n"/>
    </row>
    <row r="59">
      <c r="B59" s="77" t="inlineStr">
        <is>
          <t>Lower bound = Fin90 (historical capacity factor); upper bound = Fin42 (TOR 42%). Visayas 440 MW and 500 MW give the same rate (per-kW model). Tables: GATP_Summary.</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3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6" customWidth="1" min="1" max="1"/>
    <col width="9" customWidth="1" min="2" max="2"/>
    <col width="8" customWidth="1" min="3" max="3"/>
    <col width="15" customWidth="1" min="4" max="4"/>
    <col width="10" customWidth="1" min="5" max="5"/>
    <col width="12" customWidth="1" min="6" max="6"/>
    <col width="9" customWidth="1" min="7" max="7"/>
    <col width="9" customWidth="1" min="8" max="8"/>
    <col width="12" customWidth="1" min="9" max="9"/>
    <col width="10" customWidth="1" min="10" max="10"/>
    <col width="10" customWidth="1" min="11" max="11"/>
    <col width="11" customWidth="1" min="12" max="12"/>
    <col width="10" customWidth="1" min="13" max="13"/>
    <col width="13" customWidth="1" min="14" max="14"/>
    <col width="12" customWidth="1" min="15" max="15"/>
    <col width="14" customWidth="1" min="16" max="16"/>
    <col width="8" customWidth="1" min="17" max="17"/>
  </cols>
  <sheetData>
    <row r="1" ht="30" customHeight="1">
      <c r="A1" s="68" t="inlineStr">
        <is>
          <t>GAT Price build-up by case – PhP/kWh, first year, excluding fuel</t>
        </is>
      </c>
      <c r="B1" s="69" t="n"/>
      <c r="C1" s="69" t="n"/>
      <c r="D1" s="69" t="n"/>
      <c r="E1" s="69" t="n"/>
      <c r="F1" s="69" t="n"/>
      <c r="G1" s="69" t="n"/>
      <c r="H1" s="69" t="n"/>
      <c r="I1" s="69" t="n"/>
      <c r="J1" s="69" t="n"/>
      <c r="K1" s="69" t="n"/>
      <c r="L1" s="69" t="n"/>
      <c r="M1" s="69" t="n"/>
      <c r="N1" s="69" t="n"/>
      <c r="O1" s="69" t="n"/>
      <c r="P1" s="69" t="n"/>
      <c r="Q1" s="69" t="n"/>
    </row>
    <row r="2">
      <c r="A2" s="70" t="inlineStr">
        <is>
          <t>GATP = CRF + OM (GAIR Sec. 8.6, decision of 19 Oct 2026). CRF = capital recovery + G&amp;A + land lease + local taxes; OM = fixed + variable non-fuel O&amp;M. CLLC moved to the Fuel Cost (Sec. 13.4, 17, 18).</t>
        </is>
      </c>
      <c r="B2" s="69" t="n"/>
      <c r="C2" s="69" t="n"/>
      <c r="D2" s="69" t="n"/>
      <c r="E2" s="69" t="n"/>
      <c r="F2" s="69" t="n"/>
      <c r="G2" s="69" t="n"/>
      <c r="H2" s="69" t="n"/>
      <c r="I2" s="69" t="n"/>
      <c r="J2" s="69" t="n"/>
      <c r="K2" s="69" t="n"/>
      <c r="L2" s="69" t="n"/>
      <c r="M2" s="69" t="n"/>
      <c r="N2" s="69" t="n"/>
      <c r="O2" s="69" t="n"/>
      <c r="P2" s="69" t="n"/>
      <c r="Q2" s="69" t="n"/>
    </row>
    <row r="4">
      <c r="A4" s="78" t="inlineStr">
        <is>
          <t>Fin42 – TOR capacity factor (42%; Lot 1 adds 24% non-mid-merit energy paid fuel only)</t>
        </is>
      </c>
    </row>
    <row r="5" ht="32" customHeight="1">
      <c r="A5" s="79" t="inlineStr">
        <is>
          <t>Case</t>
        </is>
      </c>
      <c r="B5" s="79" t="inlineStr">
        <is>
          <t>Grid</t>
        </is>
      </c>
      <c r="C5" s="79" t="inlineStr">
        <is>
          <t>MW</t>
        </is>
      </c>
      <c r="D5" s="79" t="inlineStr">
        <is>
          <t>Technology</t>
        </is>
      </c>
      <c r="E5" s="79" t="inlineStr">
        <is>
          <t>Capacity factor</t>
        </is>
      </c>
      <c r="F5" s="79" t="inlineStr">
        <is>
          <t>Capital recovery</t>
        </is>
      </c>
      <c r="G5" s="79" t="inlineStr">
        <is>
          <t>G&amp;A</t>
        </is>
      </c>
      <c r="H5" s="79" t="inlineStr">
        <is>
          <t>Land lease</t>
        </is>
      </c>
      <c r="I5" s="79" t="inlineStr">
        <is>
          <t>Local taxes, ER 1-94</t>
        </is>
      </c>
      <c r="J5" s="79" t="inlineStr">
        <is>
          <t>CRF</t>
        </is>
      </c>
      <c r="K5" s="79" t="inlineStr">
        <is>
          <t>Fixed O&amp;M</t>
        </is>
      </c>
      <c r="L5" s="79" t="inlineStr">
        <is>
          <t>Variable O&amp;M</t>
        </is>
      </c>
      <c r="M5" s="79" t="inlineStr">
        <is>
          <t>OM</t>
        </is>
      </c>
      <c r="N5" s="79" t="inlineStr">
        <is>
          <t>GATP = CRF + OM</t>
        </is>
      </c>
      <c r="O5" s="79" t="inlineStr">
        <is>
          <t>CLLC → Fuel Cost</t>
        </is>
      </c>
      <c r="P5" s="79" t="inlineStr">
        <is>
          <t>Previous GATP (incl. CLLC)</t>
        </is>
      </c>
      <c r="Q5" s="79" t="inlineStr">
        <is>
          <t>Check</t>
        </is>
      </c>
    </row>
    <row r="6">
      <c r="A6" s="80" t="inlineStr">
        <is>
          <t>Lot 1 Existing CCGT – Luzon 1,400 MW</t>
        </is>
      </c>
      <c r="B6" s="80" t="inlineStr">
        <is>
          <t>Luzon</t>
        </is>
      </c>
      <c r="C6" s="80" t="n">
        <v>1400</v>
      </c>
      <c r="D6" s="80" t="inlineStr">
        <is>
          <t>Existing CCGT</t>
        </is>
      </c>
      <c r="E6" s="81" t="n">
        <v>0.42</v>
      </c>
      <c r="F6" s="82" t="n">
        <v>1.113210815556322</v>
      </c>
      <c r="G6" s="82" t="n">
        <v>0.04248573913293401</v>
      </c>
      <c r="H6" s="82" t="n">
        <v>-0</v>
      </c>
      <c r="I6" s="82" t="n">
        <v>0.1083414537470184</v>
      </c>
      <c r="J6" s="83">
        <f>SUM(F6:I6)</f>
        <v/>
      </c>
      <c r="K6" s="84" t="n">
        <v>0.2408352664316718</v>
      </c>
      <c r="L6" s="84" t="n">
        <v>0.2122220862959301</v>
      </c>
      <c r="M6" s="85">
        <f>K6+L6</f>
        <v/>
      </c>
      <c r="N6" s="86">
        <f>J6+M6</f>
        <v/>
      </c>
      <c r="O6" s="87" t="n">
        <v>1.216353671233749</v>
      </c>
      <c r="P6" s="88" t="n">
        <v>2.933449032397625</v>
      </c>
      <c r="Q6" s="89">
        <f>IF(ABS(N6-1.7170953612)&lt;0.0001,"OK","CHECK")</f>
        <v/>
      </c>
    </row>
    <row r="7">
      <c r="A7" s="80" t="inlineStr">
        <is>
          <t>Lot 2 Existing CCGT – Luzon 500 MW</t>
        </is>
      </c>
      <c r="B7" s="80" t="inlineStr">
        <is>
          <t>Luzon</t>
        </is>
      </c>
      <c r="C7" s="80" t="n">
        <v>500</v>
      </c>
      <c r="D7" s="80" t="inlineStr">
        <is>
          <t>Existing CCGT</t>
        </is>
      </c>
      <c r="E7" s="81" t="n">
        <v>0.42</v>
      </c>
      <c r="F7" s="82" t="n">
        <v>1.114523660438698</v>
      </c>
      <c r="G7" s="82" t="n">
        <v>0.03800360248121382</v>
      </c>
      <c r="H7" s="82" t="n">
        <v>-0</v>
      </c>
      <c r="I7" s="82" t="n">
        <v>0.1076330035682281</v>
      </c>
      <c r="J7" s="83">
        <f>SUM(F7:I7)</f>
        <v/>
      </c>
      <c r="K7" s="84" t="n">
        <v>0.2408352664316718</v>
      </c>
      <c r="L7" s="84" t="n">
        <v>0.1383289394592217</v>
      </c>
      <c r="M7" s="85">
        <f>K7+L7</f>
        <v/>
      </c>
      <c r="N7" s="86">
        <f>J7+M7</f>
        <v/>
      </c>
      <c r="O7" s="87" t="n">
        <v>0.7740432453305683</v>
      </c>
      <c r="P7" s="88" t="n">
        <v>2.413367717709602</v>
      </c>
      <c r="Q7" s="89">
        <f>IF(ABS(N7-1.6393244724)&lt;0.0001,"OK","CHECK")</f>
        <v/>
      </c>
    </row>
    <row r="8">
      <c r="A8" s="80" t="inlineStr">
        <is>
          <t>New CCGT – Luzon 1,000 MW</t>
        </is>
      </c>
      <c r="B8" s="80" t="inlineStr">
        <is>
          <t>Luzon</t>
        </is>
      </c>
      <c r="C8" s="80" t="n">
        <v>1000</v>
      </c>
      <c r="D8" s="80" t="inlineStr">
        <is>
          <t>New CCGT</t>
        </is>
      </c>
      <c r="E8" s="81" t="n">
        <v>0.42</v>
      </c>
      <c r="F8" s="82" t="n">
        <v>2.363809735748692</v>
      </c>
      <c r="G8" s="82" t="n">
        <v>0.05118044000224468</v>
      </c>
      <c r="H8" s="82" t="n">
        <v>-0</v>
      </c>
      <c r="I8" s="82" t="n">
        <v>0.1840119484739745</v>
      </c>
      <c r="J8" s="83">
        <f>SUM(F8:I8)</f>
        <v/>
      </c>
      <c r="K8" s="84" t="n">
        <v>0.2408352664316718</v>
      </c>
      <c r="L8" s="84" t="n">
        <v>0.1458950043399359</v>
      </c>
      <c r="M8" s="85">
        <f>K8+L8</f>
        <v/>
      </c>
      <c r="N8" s="86">
        <f>J8+M8</f>
        <v/>
      </c>
      <c r="O8" s="87" t="n">
        <v>0.7435691018136166</v>
      </c>
      <c r="P8" s="88" t="n">
        <v>3.729301496810136</v>
      </c>
      <c r="Q8" s="89">
        <f>IF(ABS(N8-2.9857323950)&lt;0.0001,"OK","CHECK")</f>
        <v/>
      </c>
    </row>
    <row r="9">
      <c r="A9" s="80" t="inlineStr">
        <is>
          <t>New OCGT – Luzon 1,000 MW</t>
        </is>
      </c>
      <c r="B9" s="80" t="inlineStr">
        <is>
          <t>Luzon</t>
        </is>
      </c>
      <c r="C9" s="80" t="n">
        <v>1000</v>
      </c>
      <c r="D9" s="80" t="inlineStr">
        <is>
          <t>New OCGT</t>
        </is>
      </c>
      <c r="E9" s="81" t="n">
        <v>0.42</v>
      </c>
      <c r="F9" s="82" t="n">
        <v>1.323451656678538</v>
      </c>
      <c r="G9" s="82" t="n">
        <v>0.04364718529565494</v>
      </c>
      <c r="H9" s="82" t="n">
        <v>-0</v>
      </c>
      <c r="I9" s="82" t="n">
        <v>0.1207425412735327</v>
      </c>
      <c r="J9" s="83">
        <f>SUM(F9:I9)</f>
        <v/>
      </c>
      <c r="K9" s="84" t="n">
        <v>0.149314351908768</v>
      </c>
      <c r="L9" s="84" t="n">
        <v>0.3007323832473738</v>
      </c>
      <c r="M9" s="85">
        <f>K9+L9</f>
        <v/>
      </c>
      <c r="N9" s="86">
        <f>J9+M9</f>
        <v/>
      </c>
      <c r="O9" s="87" t="n">
        <v>1.194586425864496</v>
      </c>
      <c r="P9" s="88" t="n">
        <v>3.132474544268364</v>
      </c>
      <c r="Q9" s="89">
        <f>IF(ABS(N9-1.9378881184)&lt;0.0001,"OK","CHECK")</f>
        <v/>
      </c>
    </row>
    <row r="10">
      <c r="A10" s="80" t="inlineStr">
        <is>
          <t>New gas engine – Luzon 1,000 MW</t>
        </is>
      </c>
      <c r="B10" s="80" t="inlineStr">
        <is>
          <t>Luzon</t>
        </is>
      </c>
      <c r="C10" s="80" t="n">
        <v>1000</v>
      </c>
      <c r="D10" s="80" t="inlineStr">
        <is>
          <t>New gas engine</t>
        </is>
      </c>
      <c r="E10" s="81" t="n">
        <v>0.42</v>
      </c>
      <c r="F10" s="82" t="n">
        <v>2.18615083302484</v>
      </c>
      <c r="G10" s="82" t="n">
        <v>0.06074783022409633</v>
      </c>
      <c r="H10" s="82" t="n">
        <v>-0</v>
      </c>
      <c r="I10" s="82" t="n">
        <v>0.1761848201028166</v>
      </c>
      <c r="J10" s="83">
        <f>SUM(F10:I10)</f>
        <v/>
      </c>
      <c r="K10" s="84" t="n">
        <v>0.2898455066464321</v>
      </c>
      <c r="L10" s="84" t="n">
        <v>0.262026667571982</v>
      </c>
      <c r="M10" s="85">
        <f>K10+L10</f>
        <v/>
      </c>
      <c r="N10" s="86">
        <f>J10+M10</f>
        <v/>
      </c>
      <c r="O10" s="87" t="n">
        <v>0.9751725925424473</v>
      </c>
      <c r="P10" s="88" t="n">
        <v>3.950128250112614</v>
      </c>
      <c r="Q10" s="89">
        <f>IF(ABS(N10-2.9749556576)&lt;0.0001,"OK","CHECK")</f>
        <v/>
      </c>
    </row>
    <row r="11">
      <c r="A11" s="80" t="inlineStr">
        <is>
          <t>New CCGT – Visayas 440 MW</t>
        </is>
      </c>
      <c r="B11" s="80" t="inlineStr">
        <is>
          <t>Visayas</t>
        </is>
      </c>
      <c r="C11" s="80" t="n">
        <v>440</v>
      </c>
      <c r="D11" s="80" t="inlineStr">
        <is>
          <t>New CCGT</t>
        </is>
      </c>
      <c r="E11" s="81" t="n">
        <v>0.42</v>
      </c>
      <c r="F11" s="82" t="n">
        <v>2.363790590846974</v>
      </c>
      <c r="G11" s="82" t="n">
        <v>0.05113090469063662</v>
      </c>
      <c r="H11" s="82" t="n">
        <v>-0</v>
      </c>
      <c r="I11" s="82" t="n">
        <v>0.1840548919626424</v>
      </c>
      <c r="J11" s="83">
        <f>SUM(F11:I11)</f>
        <v/>
      </c>
      <c r="K11" s="84" t="n">
        <v>0.2408352664316718</v>
      </c>
      <c r="L11" s="84" t="n">
        <v>0.1458655087382131</v>
      </c>
      <c r="M11" s="85">
        <f>K11+L11</f>
        <v/>
      </c>
      <c r="N11" s="86">
        <f>J11+M11</f>
        <v/>
      </c>
      <c r="O11" s="87" t="n">
        <v>1.232759300375205</v>
      </c>
      <c r="P11" s="88" t="n">
        <v>4.218436463045343</v>
      </c>
      <c r="Q11" s="89">
        <f>IF(ABS(N11-2.9856771627)&lt;0.0001,"OK","CHECK")</f>
        <v/>
      </c>
    </row>
    <row r="12">
      <c r="A12" s="80" t="inlineStr">
        <is>
          <t>New OCGT – Visayas 440 MW</t>
        </is>
      </c>
      <c r="B12" s="80" t="inlineStr">
        <is>
          <t>Visayas</t>
        </is>
      </c>
      <c r="C12" s="80" t="n">
        <v>440</v>
      </c>
      <c r="D12" s="80" t="inlineStr">
        <is>
          <t>New OCGT</t>
        </is>
      </c>
      <c r="E12" s="81" t="n">
        <v>0.42</v>
      </c>
      <c r="F12" s="82" t="n">
        <v>1.323434963816624</v>
      </c>
      <c r="G12" s="82" t="n">
        <v>0.04359754819458617</v>
      </c>
      <c r="H12" s="82" t="n">
        <v>-0</v>
      </c>
      <c r="I12" s="82" t="n">
        <v>0.1207855703377174</v>
      </c>
      <c r="J12" s="83">
        <f>SUM(F12:I12)</f>
        <v/>
      </c>
      <c r="K12" s="84" t="n">
        <v>0.149314351908768</v>
      </c>
      <c r="L12" s="84" t="n">
        <v>0.300702829205132</v>
      </c>
      <c r="M12" s="85">
        <f>K12+L12</f>
        <v/>
      </c>
      <c r="N12" s="86">
        <f>J12+M12</f>
        <v/>
      </c>
      <c r="O12" s="87" t="n">
        <v>1.980498548143772</v>
      </c>
      <c r="P12" s="88" t="n">
        <v>3.9183338116066</v>
      </c>
      <c r="Q12" s="89">
        <f>IF(ABS(N12-1.9378352635)&lt;0.0001,"OK","CHECK")</f>
        <v/>
      </c>
    </row>
    <row r="13">
      <c r="A13" s="80" t="inlineStr">
        <is>
          <t>New gas engine – Visayas 440 MW</t>
        </is>
      </c>
      <c r="B13" s="80" t="inlineStr">
        <is>
          <t>Visayas</t>
        </is>
      </c>
      <c r="C13" s="80" t="n">
        <v>440</v>
      </c>
      <c r="D13" s="80" t="inlineStr">
        <is>
          <t>New gas engine</t>
        </is>
      </c>
      <c r="E13" s="81" t="n">
        <v>0.42</v>
      </c>
      <c r="F13" s="82" t="n">
        <v>2.186135651897272</v>
      </c>
      <c r="G13" s="82" t="n">
        <v>0.06069814478779453</v>
      </c>
      <c r="H13" s="82" t="n">
        <v>-0</v>
      </c>
      <c r="I13" s="82" t="n">
        <v>0.1762278931945969</v>
      </c>
      <c r="J13" s="83">
        <f>SUM(F13:I13)</f>
        <v/>
      </c>
      <c r="K13" s="84" t="n">
        <v>0.2898455066464321</v>
      </c>
      <c r="L13" s="84" t="n">
        <v>0.2619970857789685</v>
      </c>
      <c r="M13" s="85">
        <f>K13+L13</f>
        <v/>
      </c>
      <c r="N13" s="86">
        <f>J13+M13</f>
        <v/>
      </c>
      <c r="O13" s="87" t="n">
        <v>1.616733508688793</v>
      </c>
      <c r="P13" s="88" t="n">
        <v>4.591637790993857</v>
      </c>
      <c r="Q13" s="89">
        <f>IF(ABS(N13-2.9749042823)&lt;0.0001,"OK","CHECK")</f>
        <v/>
      </c>
    </row>
    <row r="14">
      <c r="A14" s="80" t="inlineStr">
        <is>
          <t>New CCGT – Visayas 500 MW</t>
        </is>
      </c>
      <c r="B14" s="80" t="inlineStr">
        <is>
          <t>Visayas</t>
        </is>
      </c>
      <c r="C14" s="80" t="n">
        <v>500</v>
      </c>
      <c r="D14" s="80" t="inlineStr">
        <is>
          <t>New CCGT</t>
        </is>
      </c>
      <c r="E14" s="81" t="n">
        <v>0.42</v>
      </c>
      <c r="F14" s="82" t="n">
        <v>2.363794693189526</v>
      </c>
      <c r="G14" s="82" t="n">
        <v>0.05114151940047044</v>
      </c>
      <c r="H14" s="82" t="n">
        <v>-0</v>
      </c>
      <c r="I14" s="82" t="n">
        <v>0.1840456897850862</v>
      </c>
      <c r="J14" s="83">
        <f>SUM(F14:I14)</f>
        <v/>
      </c>
      <c r="K14" s="84" t="n">
        <v>0.2408352664316718</v>
      </c>
      <c r="L14" s="84" t="n">
        <v>0.1458718292244134</v>
      </c>
      <c r="M14" s="85">
        <f>K14+L14</f>
        <v/>
      </c>
      <c r="N14" s="86">
        <f>J14+M14</f>
        <v/>
      </c>
      <c r="O14" s="87" t="n">
        <v>1.232759300375206</v>
      </c>
      <c r="P14" s="88" t="n">
        <v>4.218448298406374</v>
      </c>
      <c r="Q14" s="89">
        <f>IF(ABS(N14-2.9856889980)&lt;0.0001,"OK","CHECK")</f>
        <v/>
      </c>
    </row>
    <row r="15">
      <c r="A15" s="80" t="inlineStr">
        <is>
          <t>New OCGT – Visayas 500 MW</t>
        </is>
      </c>
      <c r="B15" s="80" t="inlineStr">
        <is>
          <t>Visayas</t>
        </is>
      </c>
      <c r="C15" s="80" t="n">
        <v>500</v>
      </c>
      <c r="D15" s="80" t="inlineStr">
        <is>
          <t>New OCGT</t>
        </is>
      </c>
      <c r="E15" s="81" t="n">
        <v>0.42</v>
      </c>
      <c r="F15" s="82" t="n">
        <v>1.323438540708331</v>
      </c>
      <c r="G15" s="82" t="n">
        <v>0.04360818471632168</v>
      </c>
      <c r="H15" s="82" t="n">
        <v>-0</v>
      </c>
      <c r="I15" s="82" t="n">
        <v>0.1207763498223527</v>
      </c>
      <c r="J15" s="83">
        <f>SUM(F15:I15)</f>
        <v/>
      </c>
      <c r="K15" s="84" t="n">
        <v>0.149314351908768</v>
      </c>
      <c r="L15" s="84" t="n">
        <v>0.3007091622142286</v>
      </c>
      <c r="M15" s="85">
        <f>K15+L15</f>
        <v/>
      </c>
      <c r="N15" s="86">
        <f>J15+M15</f>
        <v/>
      </c>
      <c r="O15" s="87" t="n">
        <v>1.980498548143771</v>
      </c>
      <c r="P15" s="88" t="n">
        <v>3.918345137513774</v>
      </c>
      <c r="Q15" s="89">
        <f>IF(ABS(N15-1.9378465894)&lt;0.0001,"OK","CHECK")</f>
        <v/>
      </c>
    </row>
    <row r="16">
      <c r="A16" s="80" t="inlineStr">
        <is>
          <t>New gas engine – Visayas 500 MW</t>
        </is>
      </c>
      <c r="B16" s="80" t="inlineStr">
        <is>
          <t>Visayas</t>
        </is>
      </c>
      <c r="C16" s="80" t="n">
        <v>500</v>
      </c>
      <c r="D16" s="80" t="inlineStr">
        <is>
          <t>New gas engine</t>
        </is>
      </c>
      <c r="E16" s="81" t="n">
        <v>0.42</v>
      </c>
      <c r="F16" s="82" t="n">
        <v>2.18613890492919</v>
      </c>
      <c r="G16" s="82" t="n">
        <v>0.06070879166704356</v>
      </c>
      <c r="H16" s="82" t="n">
        <v>-0</v>
      </c>
      <c r="I16" s="82" t="n">
        <v>0.1762186632456875</v>
      </c>
      <c r="J16" s="83">
        <f>SUM(F16:I16)</f>
        <v/>
      </c>
      <c r="K16" s="84" t="n">
        <v>0.2898455066464321</v>
      </c>
      <c r="L16" s="84" t="n">
        <v>0.2620034247346381</v>
      </c>
      <c r="M16" s="85">
        <f>K16+L16</f>
        <v/>
      </c>
      <c r="N16" s="86">
        <f>J16+M16</f>
        <v/>
      </c>
      <c r="O16" s="87" t="n">
        <v>1.616733508688794</v>
      </c>
      <c r="P16" s="88" t="n">
        <v>4.591648799911785</v>
      </c>
      <c r="Q16" s="89">
        <f>IF(ABS(N16-2.9749152912)&lt;0.0001,"OK","CHECK")</f>
        <v/>
      </c>
    </row>
    <row r="18">
      <c r="A18" s="78" t="inlineStr">
        <is>
          <t>Fin90 – historical capacity factor (66.8% existing fleet; 63.1% whole fleet for new-build)</t>
        </is>
      </c>
    </row>
    <row r="19" ht="32" customHeight="1">
      <c r="A19" s="79" t="inlineStr">
        <is>
          <t>Case</t>
        </is>
      </c>
      <c r="B19" s="79" t="inlineStr">
        <is>
          <t>Grid</t>
        </is>
      </c>
      <c r="C19" s="79" t="inlineStr">
        <is>
          <t>MW</t>
        </is>
      </c>
      <c r="D19" s="79" t="inlineStr">
        <is>
          <t>Technology</t>
        </is>
      </c>
      <c r="E19" s="79" t="inlineStr">
        <is>
          <t>Capacity factor</t>
        </is>
      </c>
      <c r="F19" s="79" t="inlineStr">
        <is>
          <t>Capital recovery</t>
        </is>
      </c>
      <c r="G19" s="79" t="inlineStr">
        <is>
          <t>G&amp;A</t>
        </is>
      </c>
      <c r="H19" s="79" t="inlineStr">
        <is>
          <t>Land lease</t>
        </is>
      </c>
      <c r="I19" s="79" t="inlineStr">
        <is>
          <t>Local taxes, ER 1-94</t>
        </is>
      </c>
      <c r="J19" s="79" t="inlineStr">
        <is>
          <t>CRF</t>
        </is>
      </c>
      <c r="K19" s="79" t="inlineStr">
        <is>
          <t>Fixed O&amp;M</t>
        </is>
      </c>
      <c r="L19" s="79" t="inlineStr">
        <is>
          <t>Variable O&amp;M</t>
        </is>
      </c>
      <c r="M19" s="79" t="inlineStr">
        <is>
          <t>OM</t>
        </is>
      </c>
      <c r="N19" s="79" t="inlineStr">
        <is>
          <t>GATP = CRF + OM</t>
        </is>
      </c>
      <c r="O19" s="79" t="inlineStr">
        <is>
          <t>CLLC → Fuel Cost</t>
        </is>
      </c>
      <c r="P19" s="79" t="inlineStr">
        <is>
          <t>Previous GATP (incl. CLLC)</t>
        </is>
      </c>
      <c r="Q19" s="79" t="inlineStr">
        <is>
          <t>Check</t>
        </is>
      </c>
    </row>
    <row r="20">
      <c r="A20" s="80" t="inlineStr">
        <is>
          <t>Lot 1 Existing CCGT – Luzon 1,400 MW</t>
        </is>
      </c>
      <c r="B20" s="80" t="inlineStr">
        <is>
          <t>Luzon</t>
        </is>
      </c>
      <c r="C20" s="80" t="n">
        <v>1400</v>
      </c>
      <c r="D20" s="80" t="inlineStr">
        <is>
          <t>Existing CCGT</t>
        </is>
      </c>
      <c r="E20" s="81" t="n">
        <v>0.6680044139645122</v>
      </c>
      <c r="F20" s="82" t="n">
        <v>0.7000142895800525</v>
      </c>
      <c r="G20" s="82" t="n">
        <v>0.0268053464341559</v>
      </c>
      <c r="H20" s="82" t="n">
        <v>-0</v>
      </c>
      <c r="I20" s="82" t="n">
        <v>0.07938208693776355</v>
      </c>
      <c r="J20" s="83">
        <f>SUM(F20:I20)</f>
        <v/>
      </c>
      <c r="K20" s="84" t="n">
        <v>0.1514223705513955</v>
      </c>
      <c r="L20" s="84" t="n">
        <v>0.1349810410827766</v>
      </c>
      <c r="M20" s="85">
        <f>K20+L20</f>
        <v/>
      </c>
      <c r="N20" s="86">
        <f>J20+M20</f>
        <v/>
      </c>
      <c r="O20" s="87" t="n">
        <v>0.774043245330567</v>
      </c>
      <c r="P20" s="88" t="n">
        <v>1.866648379916711</v>
      </c>
      <c r="Q20" s="89">
        <f>IF(ABS(N20-1.0926051346)&lt;0.0001,"OK","CHECK")</f>
        <v/>
      </c>
    </row>
    <row r="21">
      <c r="A21" s="80" t="inlineStr">
        <is>
          <t>Lot 2 Existing CCGT – Luzon 500 MW</t>
        </is>
      </c>
      <c r="B21" s="80" t="inlineStr">
        <is>
          <t>Luzon</t>
        </is>
      </c>
      <c r="C21" s="80" t="n">
        <v>500</v>
      </c>
      <c r="D21" s="80" t="inlineStr">
        <is>
          <t>Existing CCGT</t>
        </is>
      </c>
      <c r="E21" s="81" t="n">
        <v>0.6680044139645122</v>
      </c>
      <c r="F21" s="82" t="n">
        <v>0.7000056945691875</v>
      </c>
      <c r="G21" s="82" t="n">
        <v>0.02677369187463277</v>
      </c>
      <c r="H21" s="82" t="n">
        <v>-0</v>
      </c>
      <c r="I21" s="82" t="n">
        <v>0.07940951372560667</v>
      </c>
      <c r="J21" s="83">
        <f>SUM(F21:I21)</f>
        <v/>
      </c>
      <c r="K21" s="84" t="n">
        <v>0.1514223705513955</v>
      </c>
      <c r="L21" s="84" t="n">
        <v>0.1349621965953666</v>
      </c>
      <c r="M21" s="85">
        <f>K21+L21</f>
        <v/>
      </c>
      <c r="N21" s="86">
        <f>J21+M21</f>
        <v/>
      </c>
      <c r="O21" s="87" t="n">
        <v>0.7740432453305666</v>
      </c>
      <c r="P21" s="88" t="n">
        <v>1.866616712646755</v>
      </c>
      <c r="Q21" s="89">
        <f>IF(ABS(N21-1.0925734673)&lt;0.0001,"OK","CHECK")</f>
        <v/>
      </c>
    </row>
    <row r="22">
      <c r="A22" s="80" t="inlineStr">
        <is>
          <t>New CCGT – Luzon 1,000 MW</t>
        </is>
      </c>
      <c r="B22" s="80" t="inlineStr">
        <is>
          <t>Luzon</t>
        </is>
      </c>
      <c r="C22" s="80" t="n">
        <v>1000</v>
      </c>
      <c r="D22" s="80" t="inlineStr">
        <is>
          <t>New CCGT</t>
        </is>
      </c>
      <c r="E22" s="81" t="n">
        <v>0.6312409193029385</v>
      </c>
      <c r="F22" s="82" t="n">
        <v>1.572109954361591</v>
      </c>
      <c r="G22" s="82" t="n">
        <v>0.03664859361280096</v>
      </c>
      <c r="H22" s="82" t="n">
        <v>-0</v>
      </c>
      <c r="I22" s="82" t="n">
        <v>0.1330124098563733</v>
      </c>
      <c r="J22" s="83">
        <f>SUM(F22:I22)</f>
        <v/>
      </c>
      <c r="K22" s="84" t="n">
        <v>0.1602412150546263</v>
      </c>
      <c r="L22" s="84" t="n">
        <v>0.1403283878152508</v>
      </c>
      <c r="M22" s="85">
        <f>K22+L22</f>
        <v/>
      </c>
      <c r="N22" s="86">
        <f>J22+M22</f>
        <v/>
      </c>
      <c r="O22" s="87" t="n">
        <v>0.7435691018136166</v>
      </c>
      <c r="P22" s="88" t="n">
        <v>2.785909662514258</v>
      </c>
      <c r="Q22" s="89">
        <f>IF(ABS(N22-2.0423405607)&lt;0.0001,"OK","CHECK")</f>
        <v/>
      </c>
    </row>
    <row r="23">
      <c r="A23" s="80" t="inlineStr">
        <is>
          <t>New OCGT – Luzon 1,000 MW</t>
        </is>
      </c>
      <c r="B23" s="80" t="inlineStr">
        <is>
          <t>Luzon</t>
        </is>
      </c>
      <c r="C23" s="80" t="n">
        <v>1000</v>
      </c>
      <c r="D23" s="80" t="inlineStr">
        <is>
          <t>New OCGT</t>
        </is>
      </c>
      <c r="E23" s="81" t="n">
        <v>0.6312409193029385</v>
      </c>
      <c r="F23" s="82" t="n">
        <v>0.878930300511378</v>
      </c>
      <c r="G23" s="82" t="n">
        <v>0.03488051578437331</v>
      </c>
      <c r="H23" s="82" t="n">
        <v>-0</v>
      </c>
      <c r="I23" s="82" t="n">
        <v>0.09146626545407177</v>
      </c>
      <c r="J23" s="83">
        <f>SUM(F23:I23)</f>
        <v/>
      </c>
      <c r="K23" s="84" t="n">
        <v>0.09934721575232117</v>
      </c>
      <c r="L23" s="84" t="n">
        <v>0.2974207031124884</v>
      </c>
      <c r="M23" s="85">
        <f>K23+L23</f>
        <v/>
      </c>
      <c r="N23" s="86">
        <f>J23+M23</f>
        <v/>
      </c>
      <c r="O23" s="87" t="n">
        <v>1.194586425864495</v>
      </c>
      <c r="P23" s="88" t="n">
        <v>2.596631426479127</v>
      </c>
      <c r="Q23" s="89">
        <f>IF(ABS(N23-1.4020450006)&lt;0.0001,"OK","CHECK")</f>
        <v/>
      </c>
    </row>
    <row r="24">
      <c r="A24" s="80" t="inlineStr">
        <is>
          <t>New gas engine – Luzon 1,000 MW</t>
        </is>
      </c>
      <c r="B24" s="80" t="inlineStr">
        <is>
          <t>Luzon</t>
        </is>
      </c>
      <c r="C24" s="80" t="n">
        <v>1000</v>
      </c>
      <c r="D24" s="80" t="inlineStr">
        <is>
          <t>New gas engine</t>
        </is>
      </c>
      <c r="E24" s="81" t="n">
        <v>0.6312409193029385</v>
      </c>
      <c r="F24" s="82" t="n">
        <v>1.453204360104791</v>
      </c>
      <c r="G24" s="82" t="n">
        <v>0.04535015293086382</v>
      </c>
      <c r="H24" s="82" t="n">
        <v>-0</v>
      </c>
      <c r="I24" s="82" t="n">
        <v>0.1282009724423545</v>
      </c>
      <c r="J24" s="83">
        <f>SUM(F24:I24)</f>
        <v/>
      </c>
      <c r="K24" s="84" t="n">
        <v>0.1928504776368587</v>
      </c>
      <c r="L24" s="84" t="n">
        <v>0.2565279293054955</v>
      </c>
      <c r="M24" s="85">
        <f>K24+L24</f>
        <v/>
      </c>
      <c r="N24" s="86">
        <f>J24+M24</f>
        <v/>
      </c>
      <c r="O24" s="87" t="n">
        <v>0.9751725925424477</v>
      </c>
      <c r="P24" s="88" t="n">
        <v>3.051306484962811</v>
      </c>
      <c r="Q24" s="89">
        <f>IF(ABS(N24-2.0761338924)&lt;0.0001,"OK","CHECK")</f>
        <v/>
      </c>
    </row>
    <row r="25">
      <c r="A25" s="80" t="inlineStr">
        <is>
          <t>New CCGT – Visayas 440 MW</t>
        </is>
      </c>
      <c r="B25" s="80" t="inlineStr">
        <is>
          <t>Visayas</t>
        </is>
      </c>
      <c r="C25" s="80" t="n">
        <v>440</v>
      </c>
      <c r="D25" s="80" t="inlineStr">
        <is>
          <t>New CCGT</t>
        </is>
      </c>
      <c r="E25" s="81" t="n">
        <v>0.6312409193029385</v>
      </c>
      <c r="F25" s="82" t="n">
        <v>1.572097216184333</v>
      </c>
      <c r="G25" s="82" t="n">
        <v>0.03661563499076113</v>
      </c>
      <c r="H25" s="82" t="n">
        <v>-0</v>
      </c>
      <c r="I25" s="82" t="n">
        <v>0.1330409825687704</v>
      </c>
      <c r="J25" s="83">
        <f>SUM(F25:I25)</f>
        <v/>
      </c>
      <c r="K25" s="84" t="n">
        <v>0.1602412150546263</v>
      </c>
      <c r="L25" s="84" t="n">
        <v>0.1403087627365452</v>
      </c>
      <c r="M25" s="85">
        <f>K25+L25</f>
        <v/>
      </c>
      <c r="N25" s="86">
        <f>J25+M25</f>
        <v/>
      </c>
      <c r="O25" s="87" t="n">
        <v>1.232759300375205</v>
      </c>
      <c r="P25" s="88" t="n">
        <v>3.275063111910242</v>
      </c>
      <c r="Q25" s="89">
        <f>IF(ABS(N25-2.0423038115)&lt;0.0001,"OK","CHECK")</f>
        <v/>
      </c>
    </row>
    <row r="26">
      <c r="A26" s="80" t="inlineStr">
        <is>
          <t>New OCGT – Visayas 440 MW</t>
        </is>
      </c>
      <c r="B26" s="80" t="inlineStr">
        <is>
          <t>Visayas</t>
        </is>
      </c>
      <c r="C26" s="80" t="n">
        <v>440</v>
      </c>
      <c r="D26" s="80" t="inlineStr">
        <is>
          <t>New OCGT</t>
        </is>
      </c>
      <c r="E26" s="81" t="n">
        <v>0.6312409193029385</v>
      </c>
      <c r="F26" s="82" t="n">
        <v>0.8789191938137773</v>
      </c>
      <c r="G26" s="82" t="n">
        <v>0.03484748943609427</v>
      </c>
      <c r="H26" s="82" t="n">
        <v>-0</v>
      </c>
      <c r="I26" s="82" t="n">
        <v>0.09149489510466144</v>
      </c>
      <c r="J26" s="83">
        <f>SUM(F26:I26)</f>
        <v/>
      </c>
      <c r="K26" s="84" t="n">
        <v>0.09934721575232118</v>
      </c>
      <c r="L26" s="84" t="n">
        <v>0.2974010391500267</v>
      </c>
      <c r="M26" s="85">
        <f>K26+L26</f>
        <v/>
      </c>
      <c r="N26" s="86">
        <f>J26+M26</f>
        <v/>
      </c>
      <c r="O26" s="87" t="n">
        <v>1.980498548143771</v>
      </c>
      <c r="P26" s="88" t="n">
        <v>3.382508381400652</v>
      </c>
      <c r="Q26" s="89">
        <f>IF(ABS(N26-1.4020098333)&lt;0.0001,"OK","CHECK")</f>
        <v/>
      </c>
    </row>
    <row r="27">
      <c r="A27" s="80" t="inlineStr">
        <is>
          <t>New gas engine – Visayas 440 MW</t>
        </is>
      </c>
      <c r="B27" s="80" t="inlineStr">
        <is>
          <t>Visayas</t>
        </is>
      </c>
      <c r="C27" s="80" t="n">
        <v>440</v>
      </c>
      <c r="D27" s="80" t="inlineStr">
        <is>
          <t>New gas engine</t>
        </is>
      </c>
      <c r="E27" s="81" t="n">
        <v>0.6312409193029385</v>
      </c>
      <c r="F27" s="82" t="n">
        <v>1.453194259248868</v>
      </c>
      <c r="G27" s="82" t="n">
        <v>0.04531709442244235</v>
      </c>
      <c r="H27" s="82" t="n">
        <v>-0</v>
      </c>
      <c r="I27" s="82" t="n">
        <v>0.1282296313869738</v>
      </c>
      <c r="J27" s="83">
        <f>SUM(F27:I27)</f>
        <v/>
      </c>
      <c r="K27" s="84" t="n">
        <v>0.1928504776368588</v>
      </c>
      <c r="L27" s="84" t="n">
        <v>0.2565082468788883</v>
      </c>
      <c r="M27" s="85">
        <f>K27+L27</f>
        <v/>
      </c>
      <c r="N27" s="86">
        <f>J27+M27</f>
        <v/>
      </c>
      <c r="O27" s="87" t="n">
        <v>1.616733528166195</v>
      </c>
      <c r="P27" s="88" t="n">
        <v>3.692833237740226</v>
      </c>
      <c r="Q27" s="89">
        <f>IF(ABS(N27-2.0760997096)&lt;0.0001,"OK","CHECK")</f>
        <v/>
      </c>
    </row>
    <row r="28">
      <c r="A28" s="80" t="inlineStr">
        <is>
          <t>New CCGT – Visayas 500 MW</t>
        </is>
      </c>
      <c r="B28" s="80" t="inlineStr">
        <is>
          <t>Visayas</t>
        </is>
      </c>
      <c r="C28" s="80" t="n">
        <v>500</v>
      </c>
      <c r="D28" s="80" t="inlineStr">
        <is>
          <t>New CCGT</t>
        </is>
      </c>
      <c r="E28" s="81" t="n">
        <v>0.6312409193029385</v>
      </c>
      <c r="F28" s="82" t="n">
        <v>1.572099945702999</v>
      </c>
      <c r="G28" s="82" t="n">
        <v>0.03662269755276221</v>
      </c>
      <c r="H28" s="82" t="n">
        <v>-0</v>
      </c>
      <c r="I28" s="82" t="n">
        <v>0.1330348598437451</v>
      </c>
      <c r="J28" s="83">
        <f>SUM(F28:I28)</f>
        <v/>
      </c>
      <c r="K28" s="84" t="n">
        <v>0.1602412150546263</v>
      </c>
      <c r="L28" s="84" t="n">
        <v>0.1403129681106313</v>
      </c>
      <c r="M28" s="85">
        <f>K28+L28</f>
        <v/>
      </c>
      <c r="N28" s="86">
        <f>J28+M28</f>
        <v/>
      </c>
      <c r="O28" s="87" t="n">
        <v>1.232759300375205</v>
      </c>
      <c r="P28" s="88" t="n">
        <v>3.275070986639969</v>
      </c>
      <c r="Q28" s="89">
        <f>IF(ABS(N28-2.0423116863)&lt;0.0001,"OK","CHECK")</f>
        <v/>
      </c>
    </row>
    <row r="29">
      <c r="A29" s="80" t="inlineStr">
        <is>
          <t>New OCGT – Visayas 500 MW</t>
        </is>
      </c>
      <c r="B29" s="80" t="inlineStr">
        <is>
          <t>Visayas</t>
        </is>
      </c>
      <c r="C29" s="80" t="n">
        <v>500</v>
      </c>
      <c r="D29" s="80" t="inlineStr">
        <is>
          <t>New OCGT</t>
        </is>
      </c>
      <c r="E29" s="81" t="n">
        <v>0.6312409193029385</v>
      </c>
      <c r="F29" s="82" t="n">
        <v>0.8789215737205135</v>
      </c>
      <c r="G29" s="82" t="n">
        <v>0.03485456651077734</v>
      </c>
      <c r="H29" s="82" t="n">
        <v>-0</v>
      </c>
      <c r="I29" s="82" t="n">
        <v>0.09148876017846332</v>
      </c>
      <c r="J29" s="83">
        <f>SUM(F29:I29)</f>
        <v/>
      </c>
      <c r="K29" s="84" t="n">
        <v>0.09934721575232117</v>
      </c>
      <c r="L29" s="84" t="n">
        <v>0.2974052528562983</v>
      </c>
      <c r="M29" s="85">
        <f>K29+L29</f>
        <v/>
      </c>
      <c r="N29" s="86">
        <f>J29+M29</f>
        <v/>
      </c>
      <c r="O29" s="87" t="n">
        <v>1.980498548143772</v>
      </c>
      <c r="P29" s="88" t="n">
        <v>3.382515917162146</v>
      </c>
      <c r="Q29" s="89">
        <f>IF(ABS(N29-1.4020173690)&lt;0.0001,"OK","CHECK")</f>
        <v/>
      </c>
    </row>
    <row r="30">
      <c r="A30" s="80" t="inlineStr">
        <is>
          <t>New gas engine – Visayas 500 MW</t>
        </is>
      </c>
      <c r="B30" s="80" t="inlineStr">
        <is>
          <t>Visayas</t>
        </is>
      </c>
      <c r="C30" s="80" t="n">
        <v>500</v>
      </c>
      <c r="D30" s="80" t="inlineStr">
        <is>
          <t>New gas engine</t>
        </is>
      </c>
      <c r="E30" s="81" t="n">
        <v>0.6312409193029385</v>
      </c>
      <c r="F30" s="82" t="n">
        <v>1.453196423673517</v>
      </c>
      <c r="G30" s="82" t="n">
        <v>0.04532417838856027</v>
      </c>
      <c r="H30" s="82" t="n">
        <v>-0</v>
      </c>
      <c r="I30" s="82" t="n">
        <v>0.128223490184109</v>
      </c>
      <c r="J30" s="83">
        <f>SUM(F30:I30)</f>
        <v/>
      </c>
      <c r="K30" s="84" t="n">
        <v>0.1928504776368587</v>
      </c>
      <c r="L30" s="84" t="n">
        <v>0.2565124645417485</v>
      </c>
      <c r="M30" s="85">
        <f>K30+L30</f>
        <v/>
      </c>
      <c r="N30" s="86">
        <f>J30+M30</f>
        <v/>
      </c>
      <c r="O30" s="87" t="n">
        <v>1.616733528558621</v>
      </c>
      <c r="P30" s="88" t="n">
        <v>3.692840562983414</v>
      </c>
      <c r="Q30" s="89">
        <f>IF(ABS(N30-2.0761070344)&lt;0.0001,"OK","CHECK")</f>
        <v/>
      </c>
    </row>
    <row r="32">
      <c r="A32" s="90" t="inlineStr">
        <is>
          <t>How to read</t>
        </is>
      </c>
    </row>
    <row r="33">
      <c r="A33" s="91" t="inlineStr">
        <is>
          <t>• GATP is the bid ceiling (TOR Sec. 4.3, 8.3.3). A Price Offer above it is disqualified.</t>
        </is>
      </c>
    </row>
    <row r="34">
      <c r="A34" s="91" t="inlineStr">
        <is>
          <t>• CRF and OM add up to the GATP solved in each model (equity NPV = 0 at Re 14%, Sec. 8.4); the Check column confirms it.</t>
        </is>
      </c>
    </row>
    <row r="35">
      <c r="A35" s="91" t="inlineStr">
        <is>
          <t>• "CLLC → Fuel Cost" is the logistics cost per kWh that the previous draft carried inside the GATP. It is now paid monthly through the Fuel Cost at actual cost, up to the Sec. 17 caps.</t>
        </is>
      </c>
    </row>
    <row r="36">
      <c r="A36" s="91" t="inlineStr">
        <is>
          <t>• Fuel (gas commodity) is never in the GATP. It is paid through the Fuel Cost up to the Gas Price Benchmark.</t>
        </is>
      </c>
    </row>
    <row r="37">
      <c r="A37" s="91" t="inlineStr">
        <is>
          <t>• Visayas 440 MW and 500 MW give the same rate because the model is per kW.</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19"/>
  <sheetViews>
    <sheetView showGridLines="0" workbookViewId="0">
      <selection activeCell="A1" sqref="A1"/>
    </sheetView>
  </sheetViews>
  <sheetFormatPr baseColWidth="8" defaultRowHeight="15"/>
  <cols>
    <col width="34" customWidth="1" min="1" max="1"/>
    <col width="12" customWidth="1" min="2" max="2"/>
    <col width="30" customWidth="1" min="3" max="3"/>
    <col width="18" customWidth="1" min="4" max="4"/>
    <col width="26" customWidth="1" min="5" max="5"/>
    <col width="52" customWidth="1" min="6" max="6"/>
  </cols>
  <sheetData>
    <row r="1" ht="30" customHeight="1">
      <c r="A1" s="68" t="inlineStr">
        <is>
          <t>What the GAT Price is made of</t>
        </is>
      </c>
      <c r="B1" s="69" t="n"/>
      <c r="C1" s="69" t="n"/>
      <c r="D1" s="69" t="n"/>
      <c r="E1" s="69" t="n"/>
      <c r="F1" s="69" t="n"/>
    </row>
    <row r="2">
      <c r="A2" s="70" t="inlineStr">
        <is>
          <t>GAIR Sec. 5, 8.6, 9, 13.4, 17, 18 as decided on 19 Oct 2026; DOE DC2026-06-0013 Sec. 4, 6.1(a), 7.2, 18.2.2; TOR Sec. 4.2, 4.3, 17.</t>
        </is>
      </c>
      <c r="B2" s="69" t="n"/>
      <c r="C2" s="69" t="n"/>
      <c r="D2" s="69" t="n"/>
      <c r="E2" s="69" t="n"/>
      <c r="F2" s="69" t="n"/>
    </row>
    <row r="4" ht="30" customHeight="1">
      <c r="A4" s="92" t="inlineStr">
        <is>
          <t>Component</t>
        </is>
      </c>
      <c r="B4" s="92" t="inlineStr">
        <is>
          <t>In the GATP?</t>
        </is>
      </c>
      <c r="C4" s="92" t="inlineStr">
        <is>
          <t>Where it is recovered</t>
        </is>
      </c>
      <c r="D4" s="92" t="inlineStr">
        <is>
          <t>GAIR section</t>
        </is>
      </c>
      <c r="E4" s="92" t="inlineStr">
        <is>
          <t>Model source</t>
        </is>
      </c>
      <c r="F4" s="92" t="inlineStr">
        <is>
          <t>Note</t>
        </is>
      </c>
    </row>
    <row r="5" ht="30" customHeight="1">
      <c r="A5" s="93" t="inlineStr">
        <is>
          <t>Return of capital (depreciation) and return on equity (Re)</t>
        </is>
      </c>
      <c r="B5" s="94" t="inlineStr">
        <is>
          <t>Yes – CRF</t>
        </is>
      </c>
      <c r="C5" s="93" t="inlineStr">
        <is>
          <t>GAP (bid price)</t>
        </is>
      </c>
      <c r="D5" s="93" t="inlineStr">
        <is>
          <t>Sec. 8.4, 8.6</t>
        </is>
      </c>
      <c r="E5" s="93" t="inlineStr">
        <is>
          <t>Tariff Breakdown A4</t>
        </is>
      </c>
      <c r="F5" s="93" t="inlineStr">
        <is>
          <t>Solved so that equity NPV = 0 at Re.</t>
        </is>
      </c>
    </row>
    <row r="6" ht="30" customHeight="1">
      <c r="A6" s="93" t="inlineStr">
        <is>
          <t>Interest and financing costs</t>
        </is>
      </c>
      <c r="B6" s="94" t="inlineStr">
        <is>
          <t>Yes – CRF</t>
        </is>
      </c>
      <c r="C6" s="93" t="inlineStr">
        <is>
          <t>GAP</t>
        </is>
      </c>
      <c r="D6" s="93" t="inlineStr">
        <is>
          <t>Sec. 8.2, 8.8.1</t>
        </is>
      </c>
      <c r="E6" s="93" t="inlineStr">
        <is>
          <t>Tariff Breakdown A4</t>
        </is>
      </c>
      <c r="F6" s="93" t="inlineStr">
        <is>
          <t>Local and foreign debt tranches.</t>
        </is>
      </c>
    </row>
    <row r="7" ht="30" customHeight="1">
      <c r="A7" s="93" t="inlineStr">
        <is>
          <t>Income tax</t>
        </is>
      </c>
      <c r="B7" s="94" t="inlineStr">
        <is>
          <t>Yes – CRF</t>
        </is>
      </c>
      <c r="C7" s="93" t="inlineStr">
        <is>
          <t>GAP</t>
        </is>
      </c>
      <c r="D7" s="93" t="inlineStr">
        <is>
          <t>Sec. 8.8.5</t>
        </is>
      </c>
      <c r="E7" s="93" t="inlineStr">
        <is>
          <t>Tariff Breakdown A4</t>
        </is>
      </c>
      <c r="F7" s="93" t="inlineStr">
        <is>
          <t>25% CREATE rate; no incentive assumed.</t>
        </is>
      </c>
    </row>
    <row r="8" ht="30" customHeight="1">
      <c r="A8" s="93" t="inlineStr">
        <is>
          <t>Major maintenance / refurbishment</t>
        </is>
      </c>
      <c r="B8" s="94" t="inlineStr">
        <is>
          <t>Yes – CRF</t>
        </is>
      </c>
      <c r="C8" s="93" t="inlineStr">
        <is>
          <t>GAP</t>
        </is>
      </c>
      <c r="D8" s="93" t="inlineStr">
        <is>
          <t>Sec. 8.8.3, A.21</t>
        </is>
      </c>
      <c r="E8" s="93" t="inlineStr">
        <is>
          <t>Operating Period</t>
        </is>
      </c>
      <c r="F8" s="93" t="inlineStr">
        <is>
          <t>Capital outflow in the refurbishment year.</t>
        </is>
      </c>
    </row>
    <row r="9" ht="30" customHeight="1">
      <c r="A9" s="93" t="inlineStr">
        <is>
          <t>General and administrative (G&amp;A)</t>
        </is>
      </c>
      <c r="B9" s="94" t="inlineStr">
        <is>
          <t>Yes – CRF</t>
        </is>
      </c>
      <c r="C9" s="93" t="inlineStr">
        <is>
          <t>GAP</t>
        </is>
      </c>
      <c r="D9" s="93" t="inlineStr">
        <is>
          <t>Annex A.6</t>
        </is>
      </c>
      <c r="E9" s="93" t="inlineStr">
        <is>
          <t>Financials E12</t>
        </is>
      </c>
      <c r="F9" s="93" t="inlineStr">
        <is>
          <t>Overhead.</t>
        </is>
      </c>
    </row>
    <row r="10" ht="30" customHeight="1">
      <c r="A10" s="93" t="inlineStr">
        <is>
          <t>Land lease</t>
        </is>
      </c>
      <c r="B10" s="94" t="inlineStr">
        <is>
          <t>Yes – CRF</t>
        </is>
      </c>
      <c r="C10" s="93" t="inlineStr">
        <is>
          <t>GAP</t>
        </is>
      </c>
      <c r="D10" s="93" t="inlineStr">
        <is>
          <t>Sec. 8.8.3</t>
        </is>
      </c>
      <c r="E10" s="93" t="inlineStr">
        <is>
          <t>Financials E13</t>
        </is>
      </c>
      <c r="F10" s="93" t="inlineStr">
        <is>
          <t>Zero in these cases (land is in capital cost).</t>
        </is>
      </c>
    </row>
    <row r="11" ht="30" customHeight="1">
      <c r="A11" s="93" t="inlineStr">
        <is>
          <t>Local taxes and ER 1-94 benefit</t>
        </is>
      </c>
      <c r="B11" s="94" t="inlineStr">
        <is>
          <t>Yes – CRF</t>
        </is>
      </c>
      <c r="C11" s="93" t="inlineStr">
        <is>
          <t>GAP</t>
        </is>
      </c>
      <c r="D11" s="93" t="inlineStr">
        <is>
          <t>Sec. 8.8.3</t>
        </is>
      </c>
      <c r="E11" s="93" t="inlineStr">
        <is>
          <t>Financials E14</t>
        </is>
      </c>
      <c r="F11" s="93" t="inlineStr">
        <is>
          <t>RPT, LBT, host-community benefit.</t>
        </is>
      </c>
    </row>
    <row r="12" ht="30" customHeight="1">
      <c r="A12" s="95" t="inlineStr">
        <is>
          <t>Fixed O&amp;M</t>
        </is>
      </c>
      <c r="B12" s="96" t="inlineStr">
        <is>
          <t>Yes – OM</t>
        </is>
      </c>
      <c r="C12" s="95" t="inlineStr">
        <is>
          <t>GAP</t>
        </is>
      </c>
      <c r="D12" s="95" t="inlineStr">
        <is>
          <t>Annex A.4</t>
        </is>
      </c>
      <c r="E12" s="95" t="inlineStr">
        <is>
          <t>Financials E10</t>
        </is>
      </c>
      <c r="F12" s="95" t="inlineStr">
        <is>
          <t>Stays in the bid: DC Sec. 6.1(a) "constructing and operating".</t>
        </is>
      </c>
    </row>
    <row r="13" ht="30" customHeight="1">
      <c r="A13" s="95" t="inlineStr">
        <is>
          <t>Variable non-fuel O&amp;M</t>
        </is>
      </c>
      <c r="B13" s="96" t="inlineStr">
        <is>
          <t>Yes – OM</t>
        </is>
      </c>
      <c r="C13" s="95" t="inlineStr">
        <is>
          <t>GAP</t>
        </is>
      </c>
      <c r="D13" s="95" t="inlineStr">
        <is>
          <t>Annex A.5</t>
        </is>
      </c>
      <c r="E13" s="95" t="inlineStr">
        <is>
          <t>Tariff Breakdown A8 + A9</t>
        </is>
      </c>
      <c r="F13" s="95" t="inlineStr">
        <is>
          <t>Now excludes logistics (CLLC).</t>
        </is>
      </c>
    </row>
    <row r="14" ht="30" customHeight="1">
      <c r="A14" s="97" t="inlineStr">
        <is>
          <t>Capped Landed Logistics Cost (CLLC)</t>
        </is>
      </c>
      <c r="B14" s="98" t="inlineStr">
        <is>
          <t>No</t>
        </is>
      </c>
      <c r="C14" s="97" t="inlineStr">
        <is>
          <t>Fuel Cost (FC = FCC + CLLC)</t>
        </is>
      </c>
      <c r="D14" s="97" t="inlineStr">
        <is>
          <t>Sec. 13.4, 17, 18</t>
        </is>
      </c>
      <c r="E14" s="97" t="inlineStr">
        <is>
          <t>GATP Build-up row 20</t>
        </is>
      </c>
      <c r="F14" s="97" t="inlineStr">
        <is>
          <t>Paid at actual cost up to the Sec. 17 caps; per Fuel Source Category caps allowed.</t>
        </is>
      </c>
    </row>
    <row r="15" ht="30" customHeight="1">
      <c r="A15" s="97" t="inlineStr">
        <is>
          <t>Fuel commodity (Reference Gas Price × heat rate)</t>
        </is>
      </c>
      <c r="B15" s="98" t="inlineStr">
        <is>
          <t>No</t>
        </is>
      </c>
      <c r="C15" s="97" t="inlineStr">
        <is>
          <t>Fuel Cost (FCC)</t>
        </is>
      </c>
      <c r="D15" s="97" t="inlineStr">
        <is>
          <t>Sec. 14–16, 18</t>
        </is>
      </c>
      <c r="E15" s="97" t="inlineStr">
        <is>
          <t>—</t>
        </is>
      </c>
      <c r="F15" s="97" t="inlineStr">
        <is>
          <t>Capped by the Gas Price Benchmark and Reference Heat Rate Cap.</t>
        </is>
      </c>
    </row>
    <row r="16" ht="30" customHeight="1">
      <c r="A16" s="97" t="inlineStr">
        <is>
          <t>Transmission / interconnection (ATP)</t>
        </is>
      </c>
      <c r="B16" s="98" t="inlineStr">
        <is>
          <t>No</t>
        </is>
      </c>
      <c r="C16" s="97" t="inlineStr">
        <is>
          <t>TNP reimbursement</t>
        </is>
      </c>
      <c r="D16" s="97" t="inlineStr">
        <is>
          <t>Sec. 9.3</t>
        </is>
      </c>
      <c r="E16" s="97" t="inlineStr">
        <is>
          <t>—</t>
        </is>
      </c>
      <c r="F16" s="97" t="inlineStr">
        <is>
          <t>Reference plant assumes NGCP builds it.</t>
        </is>
      </c>
    </row>
    <row r="18">
      <c r="A18" s="91" t="inlineStr">
        <is>
          <t>• GATP = CRF + OM. Bidders compete on this number; a Price Offer above it is disqualified.</t>
        </is>
      </c>
    </row>
    <row r="19">
      <c r="A19" s="91" t="inlineStr">
        <is>
          <t>• Settlement: MMSA = Energy Delivered × (GAP + FC), DOE DC Sec. 7.2. FC = FCC + CLLC, each component at the lesser of actual prudent cost and its cap.</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6" customWidth="1" min="1" max="1"/>
    <col width="30" customWidth="1" min="2" max="2"/>
    <col width="12" customWidth="1" min="3" max="3"/>
    <col width="13" customWidth="1" min="4" max="4"/>
    <col width="12" customWidth="1" min="5" max="5"/>
    <col width="11" customWidth="1" min="6" max="6"/>
    <col width="11" customWidth="1" min="7" max="7"/>
    <col width="12" customWidth="1" min="8" max="8"/>
    <col width="14" customWidth="1" min="9" max="9"/>
    <col width="14" customWidth="1" min="10" max="10"/>
  </cols>
  <sheetData>
    <row r="1" ht="30" customHeight="1">
      <c r="A1" s="68" t="inlineStr">
        <is>
          <t>GAT Price by lot and variation – PhP/kWh, excluding fuel, 30-year cost recovery</t>
        </is>
      </c>
      <c r="B1" s="69" t="n"/>
      <c r="C1" s="69" t="n"/>
      <c r="D1" s="69" t="n"/>
      <c r="E1" s="69" t="n"/>
      <c r="F1" s="69" t="n"/>
      <c r="G1" s="69" t="n"/>
      <c r="H1" s="69" t="n"/>
      <c r="I1" s="69" t="n"/>
      <c r="J1" s="69" t="n"/>
    </row>
    <row r="2">
      <c r="A2" s="70" t="inlineStr">
        <is>
          <t>GATP = CRF + OM (decision of 19 Oct 2026). Previous-draft values kept for comparison.</t>
        </is>
      </c>
      <c r="B2" s="69" t="n"/>
      <c r="C2" s="69" t="n"/>
      <c r="D2" s="69" t="n"/>
      <c r="E2" s="69" t="n"/>
      <c r="F2" s="69" t="n"/>
      <c r="G2" s="69" t="n"/>
      <c r="H2" s="69" t="n"/>
      <c r="I2" s="69" t="n"/>
      <c r="J2" s="69" t="n"/>
    </row>
    <row r="4" ht="32" customHeight="1">
      <c r="A4" s="79" t="inlineStr">
        <is>
          <t>Case</t>
        </is>
      </c>
      <c r="B4" s="79" t="inlineStr">
        <is>
          <t>TOR capacity factor</t>
        </is>
      </c>
      <c r="C4" s="79" t="inlineStr">
        <is>
          <t>TOR supply period</t>
        </is>
      </c>
      <c r="D4" s="79" t="inlineStr">
        <is>
          <t>Construction (months)</t>
        </is>
      </c>
      <c r="E4" s="79" t="inlineStr">
        <is>
          <t>Recovery period (yrs)</t>
        </is>
      </c>
      <c r="F4" s="79" t="inlineStr">
        <is>
          <t>Fin42 GATP</t>
        </is>
      </c>
      <c r="G4" s="79" t="inlineStr">
        <is>
          <t>Fin90 GATP</t>
        </is>
      </c>
      <c r="H4" s="79" t="inlineStr">
        <is>
          <t>Fin90 minus Fin42</t>
        </is>
      </c>
      <c r="I4" s="79" t="inlineStr">
        <is>
          <t>Fin42 previous (incl. CLLC)</t>
        </is>
      </c>
      <c r="J4" s="79" t="inlineStr">
        <is>
          <t>Fin90 previous (incl. CLLC)</t>
        </is>
      </c>
    </row>
    <row r="5">
      <c r="A5" s="99" t="inlineStr">
        <is>
          <t>Lot 1 Existing CCGT – Luzon 1,400 MW</t>
        </is>
      </c>
      <c r="B5" s="99" t="inlineStr">
        <is>
          <t>38%–42% + 22%–24% non-mid-merit</t>
        </is>
      </c>
      <c r="C5" s="99" t="inlineStr">
        <is>
          <t>5 + 5 yrs</t>
        </is>
      </c>
      <c r="D5" s="99" t="n">
        <v>0</v>
      </c>
      <c r="E5" s="99" t="n">
        <v>30</v>
      </c>
      <c r="F5" s="100" t="n">
        <v>1.717095361163876</v>
      </c>
      <c r="G5" s="100" t="n">
        <v>1.092605134586144</v>
      </c>
      <c r="H5" s="101">
        <f>G5-F5</f>
        <v/>
      </c>
      <c r="I5" s="102" t="n">
        <v>2.933449032397625</v>
      </c>
      <c r="J5" s="102" t="n">
        <v>1.866648379916711</v>
      </c>
    </row>
    <row r="6">
      <c r="A6" s="99" t="inlineStr">
        <is>
          <t>Lot 2 Existing CCGT – Luzon 500 MW</t>
        </is>
      </c>
      <c r="B6" s="99" t="inlineStr">
        <is>
          <t>37%–42%</t>
        </is>
      </c>
      <c r="C6" s="99" t="inlineStr">
        <is>
          <t>10 yrs</t>
        </is>
      </c>
      <c r="D6" s="99" t="n">
        <v>0</v>
      </c>
      <c r="E6" s="99" t="n">
        <v>30</v>
      </c>
      <c r="F6" s="100" t="n">
        <v>1.639324472379034</v>
      </c>
      <c r="G6" s="100" t="n">
        <v>1.092573467316189</v>
      </c>
      <c r="H6" s="101">
        <f>G6-F6</f>
        <v/>
      </c>
      <c r="I6" s="102" t="n">
        <v>2.413367717709602</v>
      </c>
      <c r="J6" s="102" t="n">
        <v>1.866616712646755</v>
      </c>
    </row>
    <row r="7">
      <c r="A7" s="99" t="inlineStr">
        <is>
          <t>New CCGT – Luzon 1,000 MW</t>
        </is>
      </c>
      <c r="B7" s="99" t="inlineStr">
        <is>
          <t>37%–42%</t>
        </is>
      </c>
      <c r="C7" s="99" t="inlineStr">
        <is>
          <t>20 yrs</t>
        </is>
      </c>
      <c r="D7" s="99" t="n">
        <v>36</v>
      </c>
      <c r="E7" s="99" t="n">
        <v>30</v>
      </c>
      <c r="F7" s="100" t="n">
        <v>2.985732394996519</v>
      </c>
      <c r="G7" s="100" t="n">
        <v>2.042340560700642</v>
      </c>
      <c r="H7" s="101">
        <f>G7-F7</f>
        <v/>
      </c>
      <c r="I7" s="102" t="n">
        <v>3.729301496810136</v>
      </c>
      <c r="J7" s="102" t="n">
        <v>2.785909662514258</v>
      </c>
    </row>
    <row r="8">
      <c r="A8" s="99" t="inlineStr">
        <is>
          <t>New OCGT – Luzon 1,000 MW</t>
        </is>
      </c>
      <c r="B8" s="99" t="inlineStr">
        <is>
          <t>37%–42%</t>
        </is>
      </c>
      <c r="C8" s="99" t="inlineStr">
        <is>
          <t>20 yrs</t>
        </is>
      </c>
      <c r="D8" s="99" t="n">
        <v>24</v>
      </c>
      <c r="E8" s="99" t="n">
        <v>30</v>
      </c>
      <c r="F8" s="100" t="n">
        <v>1.937888118403868</v>
      </c>
      <c r="G8" s="100" t="n">
        <v>1.402045000614633</v>
      </c>
      <c r="H8" s="101">
        <f>G8-F8</f>
        <v/>
      </c>
      <c r="I8" s="102" t="n">
        <v>3.132474544268364</v>
      </c>
      <c r="J8" s="102" t="n">
        <v>2.596631426479127</v>
      </c>
    </row>
    <row r="9">
      <c r="A9" s="99" t="inlineStr">
        <is>
          <t>New gas engine – Luzon 1,000 MW</t>
        </is>
      </c>
      <c r="B9" s="99" t="inlineStr">
        <is>
          <t>37%–42%</t>
        </is>
      </c>
      <c r="C9" s="99" t="inlineStr">
        <is>
          <t>20 yrs</t>
        </is>
      </c>
      <c r="D9" s="99" t="n">
        <v>18</v>
      </c>
      <c r="E9" s="99" t="n">
        <v>30</v>
      </c>
      <c r="F9" s="100" t="n">
        <v>2.974955657570167</v>
      </c>
      <c r="G9" s="100" t="n">
        <v>2.076133892420363</v>
      </c>
      <c r="H9" s="101">
        <f>G9-F9</f>
        <v/>
      </c>
      <c r="I9" s="102" t="n">
        <v>3.950128250112614</v>
      </c>
      <c r="J9" s="102" t="n">
        <v>3.051306484962811</v>
      </c>
    </row>
    <row r="10">
      <c r="A10" s="99" t="inlineStr">
        <is>
          <t>New CCGT – Visayas 440 MW</t>
        </is>
      </c>
      <c r="B10" s="99" t="inlineStr">
        <is>
          <t>37%–42%</t>
        </is>
      </c>
      <c r="C10" s="99" t="inlineStr">
        <is>
          <t>20 yrs</t>
        </is>
      </c>
      <c r="D10" s="99" t="n">
        <v>36</v>
      </c>
      <c r="E10" s="99" t="n">
        <v>30</v>
      </c>
      <c r="F10" s="100" t="n">
        <v>2.985677162670138</v>
      </c>
      <c r="G10" s="100" t="n">
        <v>2.042303811535037</v>
      </c>
      <c r="H10" s="101">
        <f>G10-F10</f>
        <v/>
      </c>
      <c r="I10" s="102" t="n">
        <v>4.218436463045343</v>
      </c>
      <c r="J10" s="102" t="n">
        <v>3.275063111910242</v>
      </c>
    </row>
    <row r="11">
      <c r="A11" s="99" t="inlineStr">
        <is>
          <t>New OCGT – Visayas 440 MW</t>
        </is>
      </c>
      <c r="B11" s="99" t="inlineStr">
        <is>
          <t>37%–42%</t>
        </is>
      </c>
      <c r="C11" s="99" t="inlineStr">
        <is>
          <t>20 yrs</t>
        </is>
      </c>
      <c r="D11" s="99" t="n">
        <v>24</v>
      </c>
      <c r="E11" s="99" t="n">
        <v>30</v>
      </c>
      <c r="F11" s="100" t="n">
        <v>1.937835263462828</v>
      </c>
      <c r="G11" s="100" t="n">
        <v>1.402009833256881</v>
      </c>
      <c r="H11" s="101">
        <f>G11-F11</f>
        <v/>
      </c>
      <c r="I11" s="102" t="n">
        <v>3.9183338116066</v>
      </c>
      <c r="J11" s="102" t="n">
        <v>3.382508381400652</v>
      </c>
    </row>
    <row r="12">
      <c r="A12" s="99" t="inlineStr">
        <is>
          <t>New gas engine – Visayas 440 MW</t>
        </is>
      </c>
      <c r="B12" s="99" t="inlineStr">
        <is>
          <t>37%–42%</t>
        </is>
      </c>
      <c r="C12" s="99" t="inlineStr">
        <is>
          <t>20 yrs</t>
        </is>
      </c>
      <c r="D12" s="99" t="n">
        <v>18</v>
      </c>
      <c r="E12" s="99" t="n">
        <v>30</v>
      </c>
      <c r="F12" s="100" t="n">
        <v>2.974904282305064</v>
      </c>
      <c r="G12" s="100" t="n">
        <v>2.076099709574031</v>
      </c>
      <c r="H12" s="101">
        <f>G12-F12</f>
        <v/>
      </c>
      <c r="I12" s="102" t="n">
        <v>4.591637790993857</v>
      </c>
      <c r="J12" s="102" t="n">
        <v>3.692833237740226</v>
      </c>
    </row>
    <row r="13">
      <c r="A13" s="99" t="inlineStr">
        <is>
          <t>New CCGT – Visayas 500 MW</t>
        </is>
      </c>
      <c r="B13" s="99" t="inlineStr">
        <is>
          <t>37%–42%</t>
        </is>
      </c>
      <c r="C13" s="99" t="inlineStr">
        <is>
          <t>20 yrs</t>
        </is>
      </c>
      <c r="D13" s="99" t="n">
        <v>36</v>
      </c>
      <c r="E13" s="99" t="n">
        <v>30</v>
      </c>
      <c r="F13" s="100" t="n">
        <v>2.985688998031168</v>
      </c>
      <c r="G13" s="100" t="n">
        <v>2.042311686264764</v>
      </c>
      <c r="H13" s="101">
        <f>G13-F13</f>
        <v/>
      </c>
      <c r="I13" s="102" t="n">
        <v>4.218448298406374</v>
      </c>
      <c r="J13" s="102" t="n">
        <v>3.275070986639969</v>
      </c>
    </row>
    <row r="14">
      <c r="A14" s="99" t="inlineStr">
        <is>
          <t>New OCGT – Visayas 500 MW</t>
        </is>
      </c>
      <c r="B14" s="99" t="inlineStr">
        <is>
          <t>37%–42%</t>
        </is>
      </c>
      <c r="C14" s="99" t="inlineStr">
        <is>
          <t>20 yrs</t>
        </is>
      </c>
      <c r="D14" s="99" t="n">
        <v>24</v>
      </c>
      <c r="E14" s="99" t="n">
        <v>30</v>
      </c>
      <c r="F14" s="100" t="n">
        <v>1.937846589370002</v>
      </c>
      <c r="G14" s="100" t="n">
        <v>1.402017369018373</v>
      </c>
      <c r="H14" s="101">
        <f>G14-F14</f>
        <v/>
      </c>
      <c r="I14" s="102" t="n">
        <v>3.918345137513774</v>
      </c>
      <c r="J14" s="102" t="n">
        <v>3.382515917162146</v>
      </c>
    </row>
    <row r="15">
      <c r="A15" s="99" t="inlineStr">
        <is>
          <t>New gas engine – Visayas 500 MW</t>
        </is>
      </c>
      <c r="B15" s="99" t="inlineStr">
        <is>
          <t>37%–42%</t>
        </is>
      </c>
      <c r="C15" s="99" t="inlineStr">
        <is>
          <t>20 yrs</t>
        </is>
      </c>
      <c r="D15" s="99" t="n">
        <v>18</v>
      </c>
      <c r="E15" s="99" t="n">
        <v>30</v>
      </c>
      <c r="F15" s="100" t="n">
        <v>2.974915291222991</v>
      </c>
      <c r="G15" s="100" t="n">
        <v>2.076107034424793</v>
      </c>
      <c r="H15" s="101">
        <f>G15-F15</f>
        <v/>
      </c>
      <c r="I15" s="102" t="n">
        <v>4.591648799911785</v>
      </c>
      <c r="J15" s="102" t="n">
        <v>3.692840562983414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50" customWidth="1" min="1" max="1"/>
  </cols>
  <sheetData>
    <row r="1" ht="20" customHeight="1">
      <c r="A1" s="103" t="inlineStr">
        <is>
          <t>FinModel: GAT Price (GATP) for every DOE TOR lot and variation  (revised 20 Oct 2026)</t>
        </is>
      </c>
    </row>
    <row r="2" ht="15" customHeight="1">
      <c r="A2" s="104" t="inlineStr">
        <is>
          <t>GATP = CRF + OM (GAIR Sec. 8.6, decision of 19 Oct 2026). The Capped Landed Logistics Cost (CLLC) is no longer in the GATP; it is paid through the Fuel Cost (FC = FCC + CLLC). Rates are PhP/kWh, excluding fuel.</t>
        </is>
      </c>
    </row>
    <row r="3" ht="20" customHeight="1">
      <c r="A3" s="105" t="inlineStr">
        <is>
          <t>WHAT CHANGED ON 20 OCT 2026</t>
        </is>
      </c>
    </row>
    <row r="4" ht="30" customHeight="1">
      <c r="A4" s="106" t="inlineStr">
        <is>
          <t>• All 22 models (Fin42 and Fin90) were re-solved with the CLLC removed from the variable O&amp;M input (F37). Each new GATP matches the earlier "GATP excl. CLLC" re-solve to within 1e-14.</t>
        </is>
      </c>
    </row>
    <row r="5" ht="45" customHeight="1">
      <c r="A5" s="106" t="inlineStr">
        <is>
          <t>• Each model has a new "GATP Build-up" sheet: CRF and OM components (linked to the model), the CLLC now in the Fuel Cost, and the previous-draft GATP for comparison, with a chart.</t>
        </is>
      </c>
    </row>
    <row r="6" ht="20" customHeight="1">
      <c r="A6" s="106" t="inlineStr">
        <is>
          <t>• Passwords and protection are unchanged ("yolo" to open). The COMPUTE GAT PRICE button still runs the solver macro.</t>
        </is>
      </c>
    </row>
    <row r="7" ht="30" customHeight="1">
      <c r="A7" s="105" t="inlineStr">
        <is>
          <t>BASIS</t>
        </is>
      </c>
    </row>
    <row r="8" ht="45" customHeight="1">
      <c r="A8" s="106" t="inlineStr">
        <is>
          <t>• Cost recovery over 30 years for every plant: the ERC economic life, even where the TOR contract is shorter (Lot 1: 5 + 5 yrs; Lot 2: 10 yrs; new-build: 20 yrs).</t>
        </is>
      </c>
    </row>
    <row r="9" ht="30" customHeight="1">
      <c r="A9" s="106" t="inlineStr">
        <is>
          <t>• Existing plants (Lots 1 and 2): zero construction period; capital at year 0.</t>
        </is>
      </c>
    </row>
    <row r="10" ht="20" customHeight="1">
      <c r="A10" s="105" t="inlineStr">
        <is>
          <t>FOLDERS</t>
        </is>
      </c>
    </row>
    <row r="11" ht="45" customHeight="1">
      <c r="A11" s="106" t="inlineStr">
        <is>
          <t>Fin42/  TOR capacity factor 42% (top of every TOR band). Lot 1 adds 24% non-mid-merit energy paid fuel only (TOR 4.2.2); its variable O&amp;M is carried by GAP-paid energy.</t>
        </is>
      </c>
    </row>
    <row r="12" ht="20" customHeight="1">
      <c r="A12" s="106" t="inlineStr">
        <is>
          <t>Fin90/  actual historical capacity factor of Meralco's gas suppliers, Jan 2024–Sep 2026: 66.8% existing fleet (Lots 1, 2); 63.1% whole fleet (new-build). The folder keeps the requested name.</t>
        </is>
      </c>
    </row>
    <row r="13" ht="45" customHeight="1">
      <c r="A13" s="105" t="inlineStr">
        <is>
          <t>TABS</t>
        </is>
      </c>
    </row>
    <row r="14" ht="20" customHeight="1">
      <c r="A14" s="106" t="inlineStr">
        <is>
          <t>Dashboard: GATP ranges and charts.  GATP_Summary: CRF and OM build-up per case.  GATP_Composition: what is in and out of the GATP.  Rates: GATP side by side, with previous values.  Parameters: every model input per file (changed rows shaded yellow).  TOR_Conditions, Historical_CF, References.</t>
        </is>
      </c>
    </row>
    <row r="15" ht="30" customHeight="1">
      <c r="A15" s="105" t="inlineStr">
        <is>
          <t>CAVEATS</t>
        </is>
      </c>
    </row>
    <row r="16" ht="15" customHeight="1">
      <c r="A16" s="106" t="inlineStr">
        <is>
          <t>1. OCGT and gas engines look cheap because fuel is excluded; their higher heat rate shows up in the Fuel Cost (and, now, in the CLLC per kWh).</t>
        </is>
      </c>
    </row>
    <row r="17" ht="15" customHeight="1">
      <c r="A17" s="106" t="inlineStr">
        <is>
          <t>2. Visayas 440 MW and 500 MW give the same rate: the model is per kW.</t>
        </is>
      </c>
    </row>
    <row r="18" ht="15" customHeight="1">
      <c r="A18" s="106" t="inlineStr">
        <is>
          <t>3. OCGT and gas-engine design life is usually 20–25 years; set to 30 years to follow the ERC recovery rule.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81"/>
  <sheetViews>
    <sheetView zoomScale="85" workbookViewId="0">
      <pane xSplit="5" ySplit="6" topLeftCell="F7"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34" customWidth="1" min="2" max="2"/>
    <col width="9" customWidth="1" min="3" max="3"/>
    <col width="12" customWidth="1" min="4" max="4"/>
    <col width="46"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2.5" customWidth="1" min="17" max="17"/>
    <col width="12.5" customWidth="1" min="18" max="18"/>
    <col width="12.5" customWidth="1" min="19" max="19"/>
    <col width="12.5" customWidth="1" min="20" max="20"/>
    <col width="12.5" customWidth="1" min="21" max="21"/>
    <col width="12.5" customWidth="1" min="22" max="22"/>
    <col width="12.5" customWidth="1" min="23" max="23"/>
    <col width="12.5" customWidth="1" min="24" max="24"/>
    <col width="12.5" customWidth="1" min="25" max="25"/>
    <col width="12.5" customWidth="1" min="26" max="26"/>
    <col width="12.5" customWidth="1" min="27" max="27"/>
  </cols>
  <sheetData>
    <row r="1">
      <c r="A1" s="18" t="inlineStr">
        <is>
          <t>Model inputs and results for every file in Fin42 and Fin90 (from "Inputs &amp; Assumptions" of each model)</t>
        </is>
      </c>
    </row>
    <row r="2">
      <c r="A2" s="32" t="inlineStr">
        <is>
          <t>Legend:</t>
        </is>
      </c>
      <c r="B2" s="33" t="inlineStr">
        <is>
          <t>Input typed into the model</t>
        </is>
      </c>
      <c r="D2" s="34" t="inlineStr">
        <is>
          <t>Set by the solver (calibration / Goal Seek)</t>
        </is>
      </c>
      <c r="F2" s="35" t="inlineStr">
        <is>
          <t>Result</t>
        </is>
      </c>
      <c r="H2" s="36" t="inlineStr">
        <is>
          <t>Derived / for reference only</t>
        </is>
      </c>
    </row>
    <row r="3">
      <c r="A3" s="37" t="inlineStr">
        <is>
          <t>Hover over any value for its source (red triangle = comment). Values are identical across Fin42 and Fin90 except the capacity factor and the results.</t>
        </is>
      </c>
    </row>
    <row r="4"/>
    <row r="5">
      <c r="A5" s="5" t="inlineStr">
        <is>
          <t>Section</t>
        </is>
      </c>
      <c r="B5" s="5" t="inlineStr">
        <is>
          <t>Parameter</t>
        </is>
      </c>
      <c r="C5" s="5" t="inlineStr">
        <is>
          <t>Model cell</t>
        </is>
      </c>
      <c r="D5" s="5" t="inlineStr">
        <is>
          <t>Unit</t>
        </is>
      </c>
      <c r="E5" s="5" t="inlineStr">
        <is>
          <t>Basis / source (summary)</t>
        </is>
      </c>
      <c r="F5" s="3" t="inlineStr">
        <is>
          <t>Fin42 — TOR capacity factor (42%)</t>
        </is>
      </c>
      <c r="Q5" s="4" t="inlineStr">
        <is>
          <t>Fin90 — historical capacity factor (Meralco gas fleet)</t>
        </is>
      </c>
    </row>
    <row r="6" ht="48" customHeight="1">
      <c r="A6" s="38" t="n"/>
      <c r="B6" s="38" t="n"/>
      <c r="C6" s="38" t="n"/>
      <c r="D6" s="38" t="n"/>
      <c r="E6" s="38" t="n"/>
      <c r="F6" s="39" t="inlineStr">
        <is>
          <t>Lot 1
Existing CCGT
Luzon 1,400 MW</t>
        </is>
      </c>
      <c r="G6" s="39" t="inlineStr">
        <is>
          <t>Lot 2
Existing CCGT
Luzon 500 MW</t>
        </is>
      </c>
      <c r="H6" s="39" t="inlineStr">
        <is>
          <t>New-build
CCGT
Luzon 1,000 MW</t>
        </is>
      </c>
      <c r="I6" s="39" t="inlineStr">
        <is>
          <t>New-build
OCGT
Luzon 1,000 MW</t>
        </is>
      </c>
      <c r="J6" s="39" t="inlineStr">
        <is>
          <t>New-build
Gas engine
Luzon 1,000 MW</t>
        </is>
      </c>
      <c r="K6" s="39" t="inlineStr">
        <is>
          <t>New-build
CCGT
Visayas 440 MW</t>
        </is>
      </c>
      <c r="L6" s="39" t="inlineStr">
        <is>
          <t>New-build
OCGT
Visayas 440 MW</t>
        </is>
      </c>
      <c r="M6" s="39" t="inlineStr">
        <is>
          <t>New-build
Gas engine
Visayas 440 MW</t>
        </is>
      </c>
      <c r="N6" s="39" t="inlineStr">
        <is>
          <t>New-build
CCGT
Visayas 500 MW</t>
        </is>
      </c>
      <c r="O6" s="39" t="inlineStr">
        <is>
          <t>New-build
OCGT
Visayas 500 MW</t>
        </is>
      </c>
      <c r="P6" s="39" t="inlineStr">
        <is>
          <t>New-build
Gas engine
Visayas 500 MW</t>
        </is>
      </c>
      <c r="Q6" s="40" t="inlineStr">
        <is>
          <t>Lot 1
Existing CCGT
Luzon 1,400 MW</t>
        </is>
      </c>
      <c r="R6" s="40" t="inlineStr">
        <is>
          <t>Lot 2
Existing CCGT
Luzon 500 MW</t>
        </is>
      </c>
      <c r="S6" s="40" t="inlineStr">
        <is>
          <t>New-build
CCGT
Luzon 1,000 MW</t>
        </is>
      </c>
      <c r="T6" s="40" t="inlineStr">
        <is>
          <t>New-build
OCGT
Luzon 1,000 MW</t>
        </is>
      </c>
      <c r="U6" s="40" t="inlineStr">
        <is>
          <t>New-build
Gas engine
Luzon 1,000 MW</t>
        </is>
      </c>
      <c r="V6" s="40" t="inlineStr">
        <is>
          <t>New-build
CCGT
Visayas 440 MW</t>
        </is>
      </c>
      <c r="W6" s="40" t="inlineStr">
        <is>
          <t>New-build
OCGT
Visayas 440 MW</t>
        </is>
      </c>
      <c r="X6" s="40" t="inlineStr">
        <is>
          <t>New-build
Gas engine
Visayas 440 MW</t>
        </is>
      </c>
      <c r="Y6" s="40" t="inlineStr">
        <is>
          <t>New-build
CCGT
Visayas 500 MW</t>
        </is>
      </c>
      <c r="Z6" s="40" t="inlineStr">
        <is>
          <t>New-build
OCGT
Visayas 500 MW</t>
        </is>
      </c>
      <c r="AA6" s="40" t="inlineStr">
        <is>
          <t>New-build
Gas engine
Visayas 500 MW</t>
        </is>
      </c>
    </row>
    <row r="7">
      <c r="A7" s="41" t="inlineStr">
        <is>
          <t>1. Plant and dispatch</t>
        </is>
      </c>
      <c r="B7" s="42" t="n"/>
      <c r="C7" s="42" t="n"/>
      <c r="D7" s="42" t="n"/>
      <c r="E7" s="42" t="n"/>
      <c r="F7" s="42" t="n"/>
      <c r="G7" s="42" t="n"/>
      <c r="H7" s="42" t="n"/>
      <c r="I7" s="42" t="n"/>
      <c r="J7" s="42" t="n"/>
      <c r="K7" s="42" t="n"/>
      <c r="L7" s="42" t="n"/>
      <c r="M7" s="42" t="n"/>
      <c r="N7" s="42" t="n"/>
      <c r="O7" s="42" t="n"/>
      <c r="P7" s="42" t="n"/>
      <c r="Q7" s="42" t="n"/>
      <c r="R7" s="42" t="n"/>
      <c r="S7" s="42" t="n"/>
      <c r="T7" s="42" t="n"/>
      <c r="U7" s="42" t="n"/>
      <c r="V7" s="42" t="n"/>
      <c r="W7" s="42" t="n"/>
      <c r="X7" s="42" t="n"/>
      <c r="Y7" s="42" t="n"/>
      <c r="Z7" s="42" t="n"/>
      <c r="AA7" s="42" t="n"/>
    </row>
    <row r="8" ht="30" customHeight="1">
      <c r="A8" s="43" t="inlineStr">
        <is>
          <t>Plant and dispatch</t>
        </is>
      </c>
      <c r="B8" s="44" t="inlineStr">
        <is>
          <t>Unit capacity</t>
        </is>
      </c>
      <c r="C8" s="45" t="inlineStr">
        <is>
          <t>F5</t>
        </is>
      </c>
      <c r="D8" s="45" t="inlineStr">
        <is>
          <t>MW/unit</t>
        </is>
      </c>
      <c r="E8" s="46" t="inlineStr">
        <is>
          <t>TOR lot size split into standard units (CCGT 500 MW, OCGT 220 MW, gas engine 20 MW; draft Resolution 2). Gas engines grouped into ≤20 blocks because the model accepts at most 20 units; the per-kW rate is unchanged.</t>
        </is>
      </c>
      <c r="F8" s="47" t="n">
        <v>466.6666666666667</v>
      </c>
      <c r="G8" s="47" t="n">
        <v>500</v>
      </c>
      <c r="H8" s="47" t="n">
        <v>500</v>
      </c>
      <c r="I8" s="47" t="n">
        <v>200</v>
      </c>
      <c r="J8" s="47" t="n">
        <v>50</v>
      </c>
      <c r="K8" s="47" t="n">
        <v>440</v>
      </c>
      <c r="L8" s="47" t="n">
        <v>220</v>
      </c>
      <c r="M8" s="47" t="n">
        <v>22</v>
      </c>
      <c r="N8" s="47" t="n">
        <v>500</v>
      </c>
      <c r="O8" s="47" t="n">
        <v>250</v>
      </c>
      <c r="P8" s="47" t="n">
        <v>25</v>
      </c>
      <c r="Q8" s="47" t="n">
        <v>466.6666666666667</v>
      </c>
      <c r="R8" s="47" t="n">
        <v>500</v>
      </c>
      <c r="S8" s="47" t="n">
        <v>500</v>
      </c>
      <c r="T8" s="47" t="n">
        <v>200</v>
      </c>
      <c r="U8" s="47" t="n">
        <v>50</v>
      </c>
      <c r="V8" s="47" t="n">
        <v>440</v>
      </c>
      <c r="W8" s="47" t="n">
        <v>220</v>
      </c>
      <c r="X8" s="47" t="n">
        <v>22</v>
      </c>
      <c r="Y8" s="47" t="n">
        <v>500</v>
      </c>
      <c r="Z8" s="47" t="n">
        <v>250</v>
      </c>
      <c r="AA8" s="47" t="n">
        <v>25</v>
      </c>
    </row>
    <row r="9" ht="30" customHeight="1">
      <c r="A9" s="43" t="inlineStr">
        <is>
          <t>Plant and dispatch</t>
        </is>
      </c>
      <c r="B9" s="44" t="inlineStr">
        <is>
          <t>Number of units</t>
        </is>
      </c>
      <c r="C9" s="45" t="inlineStr">
        <is>
          <t>F6</t>
        </is>
      </c>
      <c r="D9" s="45" t="inlineStr">
        <is>
          <t>units</t>
        </is>
      </c>
      <c r="E9" s="46" t="inlineStr">
        <is>
          <t>Auction capacity requirement (DOE TOR Sec. 1.1) / unit capacity.</t>
        </is>
      </c>
      <c r="F9" s="48" t="n">
        <v>3</v>
      </c>
      <c r="G9" s="48" t="n">
        <v>1</v>
      </c>
      <c r="H9" s="48" t="n">
        <v>2</v>
      </c>
      <c r="I9" s="48" t="n">
        <v>5</v>
      </c>
      <c r="J9" s="48" t="n">
        <v>20</v>
      </c>
      <c r="K9" s="48" t="n">
        <v>1</v>
      </c>
      <c r="L9" s="48" t="n">
        <v>2</v>
      </c>
      <c r="M9" s="48" t="n">
        <v>20</v>
      </c>
      <c r="N9" s="48" t="n">
        <v>1</v>
      </c>
      <c r="O9" s="48" t="n">
        <v>2</v>
      </c>
      <c r="P9" s="48" t="n">
        <v>20</v>
      </c>
      <c r="Q9" s="48" t="n">
        <v>3</v>
      </c>
      <c r="R9" s="48" t="n">
        <v>1</v>
      </c>
      <c r="S9" s="48" t="n">
        <v>2</v>
      </c>
      <c r="T9" s="48" t="n">
        <v>5</v>
      </c>
      <c r="U9" s="48" t="n">
        <v>20</v>
      </c>
      <c r="V9" s="48" t="n">
        <v>1</v>
      </c>
      <c r="W9" s="48" t="n">
        <v>2</v>
      </c>
      <c r="X9" s="48" t="n">
        <v>20</v>
      </c>
      <c r="Y9" s="48" t="n">
        <v>1</v>
      </c>
      <c r="Z9" s="48" t="n">
        <v>2</v>
      </c>
      <c r="AA9" s="48" t="n">
        <v>20</v>
      </c>
    </row>
    <row r="10" ht="30" customHeight="1">
      <c r="A10" s="43" t="inlineStr">
        <is>
          <t>Plant and dispatch</t>
        </is>
      </c>
      <c r="B10" s="44" t="inlineStr">
        <is>
          <t>Installed capacity</t>
        </is>
      </c>
      <c r="C10" s="45" t="inlineStr">
        <is>
          <t>F7</t>
        </is>
      </c>
      <c r="D10" s="45" t="inlineStr">
        <is>
          <t>MW</t>
        </is>
      </c>
      <c r="E10" s="46" t="inlineStr">
        <is>
          <t>DOE TOR Sec. 1.1 auction capacity requirement.</t>
        </is>
      </c>
      <c r="F10" s="49" t="n">
        <v>1400</v>
      </c>
      <c r="G10" s="50" t="n">
        <v>500</v>
      </c>
      <c r="H10" s="49" t="n">
        <v>1000</v>
      </c>
      <c r="I10" s="49" t="n">
        <v>1000</v>
      </c>
      <c r="J10" s="49" t="n">
        <v>1000</v>
      </c>
      <c r="K10" s="50" t="n">
        <v>440</v>
      </c>
      <c r="L10" s="50" t="n">
        <v>440</v>
      </c>
      <c r="M10" s="50" t="n">
        <v>440</v>
      </c>
      <c r="N10" s="50" t="n">
        <v>500</v>
      </c>
      <c r="O10" s="50" t="n">
        <v>500</v>
      </c>
      <c r="P10" s="50" t="n">
        <v>500</v>
      </c>
      <c r="Q10" s="49" t="n">
        <v>1400</v>
      </c>
      <c r="R10" s="50" t="n">
        <v>500</v>
      </c>
      <c r="S10" s="49" t="n">
        <v>1000</v>
      </c>
      <c r="T10" s="49" t="n">
        <v>1000</v>
      </c>
      <c r="U10" s="49" t="n">
        <v>1000</v>
      </c>
      <c r="V10" s="50" t="n">
        <v>440</v>
      </c>
      <c r="W10" s="50" t="n">
        <v>440</v>
      </c>
      <c r="X10" s="50" t="n">
        <v>440</v>
      </c>
      <c r="Y10" s="50" t="n">
        <v>500</v>
      </c>
      <c r="Z10" s="50" t="n">
        <v>500</v>
      </c>
      <c r="AA10" s="50" t="n">
        <v>500</v>
      </c>
    </row>
    <row r="11" ht="30" customHeight="1">
      <c r="A11" s="43" t="inlineStr">
        <is>
          <t>Plant and dispatch</t>
        </is>
      </c>
      <c r="B11" s="44" t="inlineStr">
        <is>
          <t>Net capacity factor paid at the GAP</t>
        </is>
      </c>
      <c r="C11" s="45" t="inlineStr">
        <is>
          <t>F8</t>
        </is>
      </c>
      <c r="D11" s="45" t="inlineStr">
        <is>
          <t>%</t>
        </is>
      </c>
      <c r="E11" s="46" t="inlineStr">
        <is>
          <t>Varies by case — see the comment on each value.</t>
        </is>
      </c>
      <c r="F11" s="51" t="n">
        <v>0.42</v>
      </c>
      <c r="G11" s="51" t="n">
        <v>0.42</v>
      </c>
      <c r="H11" s="51" t="n">
        <v>0.42</v>
      </c>
      <c r="I11" s="51" t="n">
        <v>0.42</v>
      </c>
      <c r="J11" s="51" t="n">
        <v>0.42</v>
      </c>
      <c r="K11" s="51" t="n">
        <v>0.42</v>
      </c>
      <c r="L11" s="51" t="n">
        <v>0.42</v>
      </c>
      <c r="M11" s="51" t="n">
        <v>0.42</v>
      </c>
      <c r="N11" s="51" t="n">
        <v>0.42</v>
      </c>
      <c r="O11" s="51" t="n">
        <v>0.42</v>
      </c>
      <c r="P11" s="51" t="n">
        <v>0.42</v>
      </c>
      <c r="Q11" s="51" t="n">
        <v>0.6680044139645122</v>
      </c>
      <c r="R11" s="51" t="n">
        <v>0.6680044139645122</v>
      </c>
      <c r="S11" s="51" t="n">
        <v>0.6312409193029385</v>
      </c>
      <c r="T11" s="51" t="n">
        <v>0.6312409193029385</v>
      </c>
      <c r="U11" s="51" t="n">
        <v>0.6312409193029385</v>
      </c>
      <c r="V11" s="51" t="n">
        <v>0.6312409193029385</v>
      </c>
      <c r="W11" s="51" t="n">
        <v>0.6312409193029385</v>
      </c>
      <c r="X11" s="51" t="n">
        <v>0.6312409193029385</v>
      </c>
      <c r="Y11" s="51" t="n">
        <v>0.6312409193029385</v>
      </c>
      <c r="Z11" s="51" t="n">
        <v>0.6312409193029385</v>
      </c>
      <c r="AA11" s="51" t="n">
        <v>0.6312409193029385</v>
      </c>
    </row>
    <row r="12" ht="30" customHeight="1">
      <c r="A12" s="43" t="inlineStr">
        <is>
          <t>Plant and dispatch</t>
        </is>
      </c>
      <c r="B12" s="44" t="inlineStr">
        <is>
          <t>Non-mid-merit energy, fuel only</t>
        </is>
      </c>
      <c r="C12" s="45" t="inlineStr">
        <is>
          <t>—</t>
        </is>
      </c>
      <c r="D12" s="45" t="inlineStr">
        <is>
          <t>%</t>
        </is>
      </c>
      <c r="E12" s="46" t="inlineStr">
        <is>
          <t>Lot 1 only, Fin42: 24% (top of 22%–24%), DOE TOR Sec. 4.2.2 — paid fuel only, so its variable O&amp;M and logistics are carried by GAP energy. Fin90 uses total historical dispatch instead.</t>
        </is>
      </c>
      <c r="F12" s="52" t="n">
        <v>0.24</v>
      </c>
      <c r="G12" s="52" t="n">
        <v>0</v>
      </c>
      <c r="H12" s="52" t="n">
        <v>0</v>
      </c>
      <c r="I12" s="52" t="n">
        <v>0</v>
      </c>
      <c r="J12" s="52" t="n">
        <v>0</v>
      </c>
      <c r="K12" s="52" t="n">
        <v>0</v>
      </c>
      <c r="L12" s="52" t="n">
        <v>0</v>
      </c>
      <c r="M12" s="52" t="n">
        <v>0</v>
      </c>
      <c r="N12" s="52" t="n">
        <v>0</v>
      </c>
      <c r="O12" s="52" t="n">
        <v>0</v>
      </c>
      <c r="P12" s="52" t="n">
        <v>0</v>
      </c>
      <c r="Q12" s="52" t="n">
        <v>0</v>
      </c>
      <c r="R12" s="52" t="n">
        <v>0</v>
      </c>
      <c r="S12" s="52" t="n">
        <v>0</v>
      </c>
      <c r="T12" s="52" t="n">
        <v>0</v>
      </c>
      <c r="U12" s="52" t="n">
        <v>0</v>
      </c>
      <c r="V12" s="52" t="n">
        <v>0</v>
      </c>
      <c r="W12" s="52" t="n">
        <v>0</v>
      </c>
      <c r="X12" s="52" t="n">
        <v>0</v>
      </c>
      <c r="Y12" s="52" t="n">
        <v>0</v>
      </c>
      <c r="Z12" s="52" t="n">
        <v>0</v>
      </c>
      <c r="AA12" s="52" t="n">
        <v>0</v>
      </c>
    </row>
    <row r="13" ht="30" customHeight="1">
      <c r="A13" s="43" t="inlineStr">
        <is>
          <t>Plant and dispatch</t>
        </is>
      </c>
      <c r="B13" s="44" t="inlineStr">
        <is>
          <t>Guaranteed efficiency factor</t>
        </is>
      </c>
      <c r="C13" s="45" t="inlineStr">
        <is>
          <t>F9</t>
        </is>
      </c>
      <c r="D13" s="45" t="inlineStr">
        <is>
          <t>%</t>
        </is>
      </c>
      <c r="E13" s="46" t="inlineStr">
        <is>
          <t>Net basis: CF is already net, so 100%.</t>
        </is>
      </c>
      <c r="F13" s="51" t="n">
        <v>1</v>
      </c>
      <c r="G13" s="51" t="n">
        <v>1</v>
      </c>
      <c r="H13" s="51" t="n">
        <v>1</v>
      </c>
      <c r="I13" s="51" t="n">
        <v>1</v>
      </c>
      <c r="J13" s="51" t="n">
        <v>1</v>
      </c>
      <c r="K13" s="51" t="n">
        <v>1</v>
      </c>
      <c r="L13" s="51" t="n">
        <v>1</v>
      </c>
      <c r="M13" s="51" t="n">
        <v>1</v>
      </c>
      <c r="N13" s="51" t="n">
        <v>1</v>
      </c>
      <c r="O13" s="51" t="n">
        <v>1</v>
      </c>
      <c r="P13" s="51" t="n">
        <v>1</v>
      </c>
      <c r="Q13" s="51" t="n">
        <v>1</v>
      </c>
      <c r="R13" s="51" t="n">
        <v>1</v>
      </c>
      <c r="S13" s="51" t="n">
        <v>1</v>
      </c>
      <c r="T13" s="51" t="n">
        <v>1</v>
      </c>
      <c r="U13" s="51" t="n">
        <v>1</v>
      </c>
      <c r="V13" s="51" t="n">
        <v>1</v>
      </c>
      <c r="W13" s="51" t="n">
        <v>1</v>
      </c>
      <c r="X13" s="51" t="n">
        <v>1</v>
      </c>
      <c r="Y13" s="51" t="n">
        <v>1</v>
      </c>
      <c r="Z13" s="51" t="n">
        <v>1</v>
      </c>
      <c r="AA13" s="51" t="n">
        <v>1</v>
      </c>
    </row>
    <row r="14" ht="30" customHeight="1">
      <c r="A14" s="43" t="inlineStr">
        <is>
          <t>Plant and dispatch</t>
        </is>
      </c>
      <c r="B14" s="44" t="inlineStr">
        <is>
          <t>Losses and own use</t>
        </is>
      </c>
      <c r="C14" s="45" t="inlineStr">
        <is>
          <t>F10</t>
        </is>
      </c>
      <c r="D14" s="45" t="inlineStr">
        <is>
          <t>%</t>
        </is>
      </c>
      <c r="E14" s="46" t="inlineStr">
        <is>
          <t>Net basis: 0% (CF is net of own use).</t>
        </is>
      </c>
      <c r="F14" s="51" t="n">
        <v>0</v>
      </c>
      <c r="G14" s="51" t="n">
        <v>0</v>
      </c>
      <c r="H14" s="51" t="n">
        <v>0</v>
      </c>
      <c r="I14" s="51" t="n">
        <v>0</v>
      </c>
      <c r="J14" s="51" t="n">
        <v>0</v>
      </c>
      <c r="K14" s="51" t="n">
        <v>0</v>
      </c>
      <c r="L14" s="51" t="n">
        <v>0</v>
      </c>
      <c r="M14" s="51" t="n">
        <v>0</v>
      </c>
      <c r="N14" s="51" t="n">
        <v>0</v>
      </c>
      <c r="O14" s="51" t="n">
        <v>0</v>
      </c>
      <c r="P14" s="51" t="n">
        <v>0</v>
      </c>
      <c r="Q14" s="51" t="n">
        <v>0</v>
      </c>
      <c r="R14" s="51" t="n">
        <v>0</v>
      </c>
      <c r="S14" s="51" t="n">
        <v>0</v>
      </c>
      <c r="T14" s="51" t="n">
        <v>0</v>
      </c>
      <c r="U14" s="51" t="n">
        <v>0</v>
      </c>
      <c r="V14" s="51" t="n">
        <v>0</v>
      </c>
      <c r="W14" s="51" t="n">
        <v>0</v>
      </c>
      <c r="X14" s="51" t="n">
        <v>0</v>
      </c>
      <c r="Y14" s="51" t="n">
        <v>0</v>
      </c>
      <c r="Z14" s="51" t="n">
        <v>0</v>
      </c>
      <c r="AA14" s="51" t="n">
        <v>0</v>
      </c>
    </row>
    <row r="15" ht="30" customHeight="1">
      <c r="A15" s="43" t="inlineStr">
        <is>
          <t>Plant and dispatch</t>
        </is>
      </c>
      <c r="B15" s="44" t="inlineStr">
        <is>
          <t>Plant degradation</t>
        </is>
      </c>
      <c r="C15" s="45" t="inlineStr">
        <is>
          <t>F13</t>
        </is>
      </c>
      <c r="D15" s="45" t="inlineStr">
        <is>
          <t>% p.a.</t>
        </is>
      </c>
      <c r="E15" s="46" t="inlineStr">
        <is>
          <t>0.2% per year (draft Resolution 2, Annex A.20).</t>
        </is>
      </c>
      <c r="F15" s="51" t="n">
        <v>0.002</v>
      </c>
      <c r="G15" s="51" t="n">
        <v>0.002</v>
      </c>
      <c r="H15" s="51" t="n">
        <v>0.002</v>
      </c>
      <c r="I15" s="51" t="n">
        <v>0.002</v>
      </c>
      <c r="J15" s="51" t="n">
        <v>0.002</v>
      </c>
      <c r="K15" s="51" t="n">
        <v>0.002</v>
      </c>
      <c r="L15" s="51" t="n">
        <v>0.002</v>
      </c>
      <c r="M15" s="51" t="n">
        <v>0.002</v>
      </c>
      <c r="N15" s="51" t="n">
        <v>0.002</v>
      </c>
      <c r="O15" s="51" t="n">
        <v>0.002</v>
      </c>
      <c r="P15" s="51" t="n">
        <v>0.002</v>
      </c>
      <c r="Q15" s="51" t="n">
        <v>0.002</v>
      </c>
      <c r="R15" s="51" t="n">
        <v>0.002</v>
      </c>
      <c r="S15" s="51" t="n">
        <v>0.002</v>
      </c>
      <c r="T15" s="51" t="n">
        <v>0.002</v>
      </c>
      <c r="U15" s="51" t="n">
        <v>0.002</v>
      </c>
      <c r="V15" s="51" t="n">
        <v>0.002</v>
      </c>
      <c r="W15" s="51" t="n">
        <v>0.002</v>
      </c>
      <c r="X15" s="51" t="n">
        <v>0.002</v>
      </c>
      <c r="Y15" s="51" t="n">
        <v>0.002</v>
      </c>
      <c r="Z15" s="51" t="n">
        <v>0.002</v>
      </c>
      <c r="AA15" s="51" t="n">
        <v>0.002</v>
      </c>
    </row>
    <row r="16" ht="30" customHeight="1">
      <c r="A16" s="43" t="inlineStr">
        <is>
          <t>Plant and dispatch</t>
        </is>
      </c>
      <c r="B16" s="44" t="inlineStr">
        <is>
          <t>Heat rate (for logistics cost only; fuel excluded)</t>
        </is>
      </c>
      <c r="C16" s="45" t="inlineStr">
        <is>
          <t>F61</t>
        </is>
      </c>
      <c r="D16" s="45" t="inlineStr">
        <is>
          <t>Btu/kWh</t>
        </is>
      </c>
      <c r="E16" s="46" t="inlineStr">
        <is>
          <t>Varies by case — see the comment on each value.</t>
        </is>
      </c>
      <c r="F16" s="48" t="n">
        <v>6350</v>
      </c>
      <c r="G16" s="48" t="n">
        <v>6350</v>
      </c>
      <c r="H16" s="48" t="n">
        <v>6100</v>
      </c>
      <c r="I16" s="48" t="n">
        <v>9800</v>
      </c>
      <c r="J16" s="48" t="n">
        <v>8000</v>
      </c>
      <c r="K16" s="48" t="n">
        <v>6100</v>
      </c>
      <c r="L16" s="48" t="n">
        <v>9800</v>
      </c>
      <c r="M16" s="48" t="n">
        <v>8000</v>
      </c>
      <c r="N16" s="48" t="n">
        <v>6100</v>
      </c>
      <c r="O16" s="48" t="n">
        <v>9800</v>
      </c>
      <c r="P16" s="48" t="n">
        <v>8000</v>
      </c>
      <c r="Q16" s="48" t="n">
        <v>6350</v>
      </c>
      <c r="R16" s="48" t="n">
        <v>6350</v>
      </c>
      <c r="S16" s="48" t="n">
        <v>6100</v>
      </c>
      <c r="T16" s="48" t="n">
        <v>9800</v>
      </c>
      <c r="U16" s="48" t="n">
        <v>8000</v>
      </c>
      <c r="V16" s="48" t="n">
        <v>6100</v>
      </c>
      <c r="W16" s="48" t="n">
        <v>9800</v>
      </c>
      <c r="X16" s="48" t="n">
        <v>8000</v>
      </c>
      <c r="Y16" s="48" t="n">
        <v>6100</v>
      </c>
      <c r="Z16" s="48" t="n">
        <v>9800</v>
      </c>
      <c r="AA16" s="48" t="n">
        <v>8000</v>
      </c>
    </row>
    <row r="17">
      <c r="A17" s="41" t="inlineStr">
        <is>
          <t>2. Timing</t>
        </is>
      </c>
      <c r="B17" s="42" t="n"/>
      <c r="C17" s="42" t="n"/>
      <c r="D17" s="42" t="n"/>
      <c r="E17" s="42" t="n"/>
      <c r="F17" s="42" t="n"/>
      <c r="G17" s="42" t="n"/>
      <c r="H17" s="42" t="n"/>
      <c r="I17" s="42" t="n"/>
      <c r="J17" s="42" t="n"/>
      <c r="K17" s="42" t="n"/>
      <c r="L17" s="42" t="n"/>
      <c r="M17" s="42" t="n"/>
      <c r="N17" s="42" t="n"/>
      <c r="O17" s="42" t="n"/>
      <c r="P17" s="42" t="n"/>
      <c r="Q17" s="42" t="n"/>
      <c r="R17" s="42" t="n"/>
      <c r="S17" s="42" t="n"/>
      <c r="T17" s="42" t="n"/>
      <c r="U17" s="42" t="n"/>
      <c r="V17" s="42" t="n"/>
      <c r="W17" s="42" t="n"/>
      <c r="X17" s="42" t="n"/>
      <c r="Y17" s="42" t="n"/>
      <c r="Z17" s="42" t="n"/>
      <c r="AA17" s="42" t="n"/>
    </row>
    <row r="18" ht="30" customHeight="1">
      <c r="A18" s="43" t="inlineStr">
        <is>
          <t>Timing</t>
        </is>
      </c>
      <c r="B18" s="44" t="inlineStr">
        <is>
          <t>Construction period</t>
        </is>
      </c>
      <c r="C18" s="45" t="inlineStr">
        <is>
          <t>C8</t>
        </is>
      </c>
      <c r="D18" s="45" t="inlineStr">
        <is>
          <t>months</t>
        </is>
      </c>
      <c r="E18" s="46" t="inlineStr">
        <is>
          <t>Varies by case — see the comment on each value.</t>
        </is>
      </c>
      <c r="F18" s="48" t="n">
        <v>0</v>
      </c>
      <c r="G18" s="48" t="n">
        <v>0</v>
      </c>
      <c r="H18" s="48" t="n">
        <v>36</v>
      </c>
      <c r="I18" s="48" t="n">
        <v>24</v>
      </c>
      <c r="J18" s="48" t="n">
        <v>18</v>
      </c>
      <c r="K18" s="48" t="n">
        <v>36</v>
      </c>
      <c r="L18" s="48" t="n">
        <v>24</v>
      </c>
      <c r="M18" s="48" t="n">
        <v>18</v>
      </c>
      <c r="N18" s="48" t="n">
        <v>36</v>
      </c>
      <c r="O18" s="48" t="n">
        <v>24</v>
      </c>
      <c r="P18" s="48" t="n">
        <v>18</v>
      </c>
      <c r="Q18" s="48" t="n">
        <v>0</v>
      </c>
      <c r="R18" s="48" t="n">
        <v>0</v>
      </c>
      <c r="S18" s="48" t="n">
        <v>36</v>
      </c>
      <c r="T18" s="48" t="n">
        <v>24</v>
      </c>
      <c r="U18" s="48" t="n">
        <v>18</v>
      </c>
      <c r="V18" s="48" t="n">
        <v>36</v>
      </c>
      <c r="W18" s="48" t="n">
        <v>24</v>
      </c>
      <c r="X18" s="48" t="n">
        <v>18</v>
      </c>
      <c r="Y18" s="48" t="n">
        <v>36</v>
      </c>
      <c r="Z18" s="48" t="n">
        <v>24</v>
      </c>
      <c r="AA18" s="48" t="n">
        <v>18</v>
      </c>
    </row>
    <row r="19" ht="30" customHeight="1">
      <c r="A19" s="43" t="inlineStr">
        <is>
          <t>Timing</t>
        </is>
      </c>
      <c r="B19" s="44" t="inlineStr">
        <is>
          <t>Operating / cost-recovery period</t>
        </is>
      </c>
      <c r="C19" s="45" t="inlineStr">
        <is>
          <t>C9</t>
        </is>
      </c>
      <c r="D19" s="45" t="inlineStr">
        <is>
          <t>yrs</t>
        </is>
      </c>
      <c r="E19" s="46" t="inlineStr">
        <is>
          <t>30 years for every plant, existing and new: plant economic life used by the ERC for cost recovery, even though the TOR contract is shorter (instruction of 20 Oct 2026; GAIR Table 1 Operating Period).</t>
        </is>
      </c>
      <c r="F19" s="48" t="n">
        <v>30</v>
      </c>
      <c r="G19" s="48" t="n">
        <v>30</v>
      </c>
      <c r="H19" s="48" t="n">
        <v>30</v>
      </c>
      <c r="I19" s="48" t="n">
        <v>30</v>
      </c>
      <c r="J19" s="48" t="n">
        <v>30</v>
      </c>
      <c r="K19" s="48" t="n">
        <v>30</v>
      </c>
      <c r="L19" s="48" t="n">
        <v>30</v>
      </c>
      <c r="M19" s="48" t="n">
        <v>30</v>
      </c>
      <c r="N19" s="48" t="n">
        <v>30</v>
      </c>
      <c r="O19" s="48" t="n">
        <v>30</v>
      </c>
      <c r="P19" s="48" t="n">
        <v>30</v>
      </c>
      <c r="Q19" s="48" t="n">
        <v>30</v>
      </c>
      <c r="R19" s="48" t="n">
        <v>30</v>
      </c>
      <c r="S19" s="48" t="n">
        <v>30</v>
      </c>
      <c r="T19" s="48" t="n">
        <v>30</v>
      </c>
      <c r="U19" s="48" t="n">
        <v>30</v>
      </c>
      <c r="V19" s="48" t="n">
        <v>30</v>
      </c>
      <c r="W19" s="48" t="n">
        <v>30</v>
      </c>
      <c r="X19" s="48" t="n">
        <v>30</v>
      </c>
      <c r="Y19" s="48" t="n">
        <v>30</v>
      </c>
      <c r="Z19" s="48" t="n">
        <v>30</v>
      </c>
      <c r="AA19" s="48" t="n">
        <v>30</v>
      </c>
    </row>
    <row r="20" ht="30" customHeight="1">
      <c r="A20" s="43" t="inlineStr">
        <is>
          <t>Timing</t>
        </is>
      </c>
      <c r="B20" s="44" t="inlineStr">
        <is>
          <t>TOR delivery commencement year</t>
        </is>
      </c>
      <c r="C20" s="45" t="inlineStr">
        <is>
          <t>—</t>
        </is>
      </c>
      <c r="D20" s="45" t="inlineStr">
        <is>
          <t>year</t>
        </is>
      </c>
      <c r="E20" s="46" t="inlineStr">
        <is>
          <t>DOE TOR Sec. 1.1. Inflation and FX escalation are zero in the model, so the year does not move the rate.</t>
        </is>
      </c>
      <c r="F20" s="53" t="n">
        <v>2026</v>
      </c>
      <c r="G20" s="53" t="n">
        <v>2027</v>
      </c>
      <c r="H20" s="53" t="n">
        <v>2031</v>
      </c>
      <c r="I20" s="53" t="n">
        <v>2031</v>
      </c>
      <c r="J20" s="53" t="n">
        <v>2031</v>
      </c>
      <c r="K20" s="53" t="n">
        <v>2028</v>
      </c>
      <c r="L20" s="53" t="n">
        <v>2028</v>
      </c>
      <c r="M20" s="53" t="n">
        <v>2028</v>
      </c>
      <c r="N20" s="53" t="n">
        <v>2031</v>
      </c>
      <c r="O20" s="53" t="n">
        <v>2031</v>
      </c>
      <c r="P20" s="53" t="n">
        <v>2031</v>
      </c>
      <c r="Q20" s="53" t="n">
        <v>2026</v>
      </c>
      <c r="R20" s="53" t="n">
        <v>2027</v>
      </c>
      <c r="S20" s="53" t="n">
        <v>2031</v>
      </c>
      <c r="T20" s="53" t="n">
        <v>2031</v>
      </c>
      <c r="U20" s="53" t="n">
        <v>2031</v>
      </c>
      <c r="V20" s="53" t="n">
        <v>2028</v>
      </c>
      <c r="W20" s="53" t="n">
        <v>2028</v>
      </c>
      <c r="X20" s="53" t="n">
        <v>2028</v>
      </c>
      <c r="Y20" s="53" t="n">
        <v>2031</v>
      </c>
      <c r="Z20" s="53" t="n">
        <v>2031</v>
      </c>
      <c r="AA20" s="53" t="n">
        <v>2031</v>
      </c>
    </row>
    <row r="21" ht="30" customHeight="1">
      <c r="A21" s="43" t="inlineStr">
        <is>
          <t>Timing</t>
        </is>
      </c>
      <c r="B21" s="44" t="inlineStr">
        <is>
          <t>TOR supply delivery period</t>
        </is>
      </c>
      <c r="C21" s="45" t="inlineStr">
        <is>
          <t>—</t>
        </is>
      </c>
      <c r="D21" s="45" t="inlineStr"/>
      <c r="E21" s="46" t="inlineStr">
        <is>
          <t>DOE TOR Sec. 1.2 (for reference; cost recovery uses 30 years).</t>
        </is>
      </c>
      <c r="F21" s="53" t="inlineStr">
        <is>
          <t>5 + 5 yrs</t>
        </is>
      </c>
      <c r="G21" s="53" t="inlineStr">
        <is>
          <t>10 yrs</t>
        </is>
      </c>
      <c r="H21" s="53" t="inlineStr">
        <is>
          <t>20 yrs</t>
        </is>
      </c>
      <c r="I21" s="53" t="inlineStr">
        <is>
          <t>20 yrs</t>
        </is>
      </c>
      <c r="J21" s="53" t="inlineStr">
        <is>
          <t>20 yrs</t>
        </is>
      </c>
      <c r="K21" s="53" t="inlineStr">
        <is>
          <t>20 yrs</t>
        </is>
      </c>
      <c r="L21" s="53" t="inlineStr">
        <is>
          <t>20 yrs</t>
        </is>
      </c>
      <c r="M21" s="53" t="inlineStr">
        <is>
          <t>20 yrs</t>
        </is>
      </c>
      <c r="N21" s="53" t="inlineStr">
        <is>
          <t>20 yrs</t>
        </is>
      </c>
      <c r="O21" s="53" t="inlineStr">
        <is>
          <t>20 yrs</t>
        </is>
      </c>
      <c r="P21" s="53" t="inlineStr">
        <is>
          <t>20 yrs</t>
        </is>
      </c>
      <c r="Q21" s="53" t="inlineStr">
        <is>
          <t>5 + 5 yrs</t>
        </is>
      </c>
      <c r="R21" s="53" t="inlineStr">
        <is>
          <t>10 yrs</t>
        </is>
      </c>
      <c r="S21" s="53" t="inlineStr">
        <is>
          <t>20 yrs</t>
        </is>
      </c>
      <c r="T21" s="53" t="inlineStr">
        <is>
          <t>20 yrs</t>
        </is>
      </c>
      <c r="U21" s="53" t="inlineStr">
        <is>
          <t>20 yrs</t>
        </is>
      </c>
      <c r="V21" s="53" t="inlineStr">
        <is>
          <t>20 yrs</t>
        </is>
      </c>
      <c r="W21" s="53" t="inlineStr">
        <is>
          <t>20 yrs</t>
        </is>
      </c>
      <c r="X21" s="53" t="inlineStr">
        <is>
          <t>20 yrs</t>
        </is>
      </c>
      <c r="Y21" s="53" t="inlineStr">
        <is>
          <t>20 yrs</t>
        </is>
      </c>
      <c r="Z21" s="53" t="inlineStr">
        <is>
          <t>20 yrs</t>
        </is>
      </c>
      <c r="AA21" s="53" t="inlineStr">
        <is>
          <t>20 yrs</t>
        </is>
      </c>
    </row>
    <row r="22" ht="30" customHeight="1">
      <c r="A22" s="43" t="inlineStr">
        <is>
          <t>Timing</t>
        </is>
      </c>
      <c r="B22" s="44" t="inlineStr">
        <is>
          <t>Base year CPI and FX</t>
        </is>
      </c>
      <c r="C22" s="45" t="inlineStr">
        <is>
          <t>C45</t>
        </is>
      </c>
      <c r="D22" s="45" t="inlineStr">
        <is>
          <t>year</t>
        </is>
      </c>
      <c r="E22" s="46" t="inlineStr">
        <is>
          <t>naruto / ERC Mid-Merit Financial Model default (ADV model reviewed 9 Oct 2026); unchanged across cases.</t>
        </is>
      </c>
      <c r="F22" s="48" t="n">
        <v>2028</v>
      </c>
      <c r="G22" s="48" t="n">
        <v>2028</v>
      </c>
      <c r="H22" s="48" t="n">
        <v>2028</v>
      </c>
      <c r="I22" s="48" t="n">
        <v>2028</v>
      </c>
      <c r="J22" s="48" t="n">
        <v>2028</v>
      </c>
      <c r="K22" s="48" t="n">
        <v>2028</v>
      </c>
      <c r="L22" s="48" t="n">
        <v>2028</v>
      </c>
      <c r="M22" s="48" t="n">
        <v>2028</v>
      </c>
      <c r="N22" s="48" t="n">
        <v>2028</v>
      </c>
      <c r="O22" s="48" t="n">
        <v>2028</v>
      </c>
      <c r="P22" s="48" t="n">
        <v>2028</v>
      </c>
      <c r="Q22" s="48" t="n">
        <v>2028</v>
      </c>
      <c r="R22" s="48" t="n">
        <v>2028</v>
      </c>
      <c r="S22" s="48" t="n">
        <v>2028</v>
      </c>
      <c r="T22" s="48" t="n">
        <v>2028</v>
      </c>
      <c r="U22" s="48" t="n">
        <v>2028</v>
      </c>
      <c r="V22" s="48" t="n">
        <v>2028</v>
      </c>
      <c r="W22" s="48" t="n">
        <v>2028</v>
      </c>
      <c r="X22" s="48" t="n">
        <v>2028</v>
      </c>
      <c r="Y22" s="48" t="n">
        <v>2028</v>
      </c>
      <c r="Z22" s="48" t="n">
        <v>2028</v>
      </c>
      <c r="AA22" s="48" t="n">
        <v>2028</v>
      </c>
    </row>
    <row r="23">
      <c r="A23" s="41" t="inlineStr">
        <is>
          <t>3. Capital cost</t>
        </is>
      </c>
      <c r="B23" s="42" t="n"/>
      <c r="C23" s="42" t="n"/>
      <c r="D23" s="42" t="n"/>
      <c r="E23" s="42" t="n"/>
      <c r="F23" s="42" t="n"/>
      <c r="G23" s="42" t="n"/>
      <c r="H23" s="42" t="n"/>
      <c r="I23" s="42" t="n"/>
      <c r="J23" s="42" t="n"/>
      <c r="K23" s="42" t="n"/>
      <c r="L23" s="42" t="n"/>
      <c r="M23" s="42" t="n"/>
      <c r="N23" s="42" t="n"/>
      <c r="O23" s="42" t="n"/>
      <c r="P23" s="42" t="n"/>
      <c r="Q23" s="42" t="n"/>
      <c r="R23" s="42" t="n"/>
      <c r="S23" s="42" t="n"/>
      <c r="T23" s="42" t="n"/>
      <c r="U23" s="42" t="n"/>
      <c r="V23" s="42" t="n"/>
      <c r="W23" s="42" t="n"/>
      <c r="X23" s="42" t="n"/>
      <c r="Y23" s="42" t="n"/>
      <c r="Z23" s="42" t="n"/>
      <c r="AA23" s="42" t="n"/>
    </row>
    <row r="24" ht="30" customHeight="1">
      <c r="A24" s="43" t="inlineStr">
        <is>
          <t>Capital cost</t>
        </is>
      </c>
      <c r="B24" s="44" t="inlineStr">
        <is>
          <t>Target all-in project cost</t>
        </is>
      </c>
      <c r="C24" s="45" t="inlineStr">
        <is>
          <t>Q34</t>
        </is>
      </c>
      <c r="D24" s="45" t="inlineStr">
        <is>
          <t>US$/kW</t>
        </is>
      </c>
      <c r="E24" s="46" t="inlineStr">
        <is>
          <t>Varies by case — see the comment on each value.</t>
        </is>
      </c>
      <c r="F24" s="48" t="n">
        <v>450</v>
      </c>
      <c r="G24" s="48" t="n">
        <v>450</v>
      </c>
      <c r="H24" s="48" t="n">
        <v>900</v>
      </c>
      <c r="I24" s="48" t="n">
        <v>520</v>
      </c>
      <c r="J24" s="48" t="n">
        <v>850</v>
      </c>
      <c r="K24" s="48" t="n">
        <v>900</v>
      </c>
      <c r="L24" s="48" t="n">
        <v>520</v>
      </c>
      <c r="M24" s="48" t="n">
        <v>850</v>
      </c>
      <c r="N24" s="48" t="n">
        <v>900</v>
      </c>
      <c r="O24" s="48" t="n">
        <v>520</v>
      </c>
      <c r="P24" s="48" t="n">
        <v>850</v>
      </c>
      <c r="Q24" s="48" t="n">
        <v>450</v>
      </c>
      <c r="R24" s="48" t="n">
        <v>450</v>
      </c>
      <c r="S24" s="48" t="n">
        <v>900</v>
      </c>
      <c r="T24" s="48" t="n">
        <v>520</v>
      </c>
      <c r="U24" s="48" t="n">
        <v>850</v>
      </c>
      <c r="V24" s="48" t="n">
        <v>900</v>
      </c>
      <c r="W24" s="48" t="n">
        <v>520</v>
      </c>
      <c r="X24" s="48" t="n">
        <v>850</v>
      </c>
      <c r="Y24" s="48" t="n">
        <v>900</v>
      </c>
      <c r="Z24" s="48" t="n">
        <v>520</v>
      </c>
      <c r="AA24" s="48" t="n">
        <v>850</v>
      </c>
    </row>
    <row r="25" ht="30" customHeight="1">
      <c r="A25" s="43" t="inlineStr">
        <is>
          <t>Capital cost</t>
        </is>
      </c>
      <c r="B25" s="44" t="inlineStr">
        <is>
          <t>All-in project cost reached by the model</t>
        </is>
      </c>
      <c r="C25" s="45" t="inlineStr">
        <is>
          <t>C34</t>
        </is>
      </c>
      <c r="D25" s="45" t="inlineStr">
        <is>
          <t>US$/kW</t>
        </is>
      </c>
      <c r="E25" s="46" t="inlineStr">
        <is>
          <t>Model result after calibration; equals the target (calibration check C36 = 0).</t>
        </is>
      </c>
      <c r="F25" s="54" t="n">
        <v>450.000000000002</v>
      </c>
      <c r="G25" s="54" t="n">
        <v>450.000000000002</v>
      </c>
      <c r="H25" s="54" t="n">
        <v>899.99999999897</v>
      </c>
      <c r="I25" s="54" t="n">
        <v>520.000000002169</v>
      </c>
      <c r="J25" s="54" t="n">
        <v>849.999999999815</v>
      </c>
      <c r="K25" s="54" t="n">
        <v>899.999999994761</v>
      </c>
      <c r="L25" s="54" t="n">
        <v>520.000000011247</v>
      </c>
      <c r="M25" s="54" t="n">
        <v>849.999999999063</v>
      </c>
      <c r="N25" s="54" t="n">
        <v>899.999999995929</v>
      </c>
      <c r="O25" s="54" t="n">
        <v>520.000000008699</v>
      </c>
      <c r="P25" s="54" t="n">
        <v>849.999999999271</v>
      </c>
      <c r="Q25" s="54" t="n">
        <v>450.000000000002</v>
      </c>
      <c r="R25" s="54" t="n">
        <v>450.000000000002</v>
      </c>
      <c r="S25" s="54" t="n">
        <v>899.99999999897</v>
      </c>
      <c r="T25" s="54" t="n">
        <v>520.000000002169</v>
      </c>
      <c r="U25" s="54" t="n">
        <v>849.999999999815</v>
      </c>
      <c r="V25" s="54" t="n">
        <v>899.999999994761</v>
      </c>
      <c r="W25" s="54" t="n">
        <v>520.000000011247</v>
      </c>
      <c r="X25" s="54" t="n">
        <v>849.999999999063</v>
      </c>
      <c r="Y25" s="54" t="n">
        <v>899.999999995929</v>
      </c>
      <c r="Z25" s="54" t="n">
        <v>520.000000008699</v>
      </c>
      <c r="AA25" s="54" t="n">
        <v>849.999999999271</v>
      </c>
    </row>
    <row r="26" ht="30" customHeight="1">
      <c r="A26" s="43" t="inlineStr">
        <is>
          <t>Capital cost</t>
        </is>
      </c>
      <c r="B26" s="55" t="inlineStr">
        <is>
          <t>Equipment cost ex BOP (calibrated)</t>
        </is>
      </c>
      <c r="C26" s="45" t="inlineStr">
        <is>
          <t>F15</t>
        </is>
      </c>
      <c r="D26" s="45" t="inlineStr">
        <is>
          <t>$000/MW</t>
        </is>
      </c>
      <c r="E26" s="46" t="inlineStr">
        <is>
          <t>Set by the solver so that the all-in cost equals the target (Goal Seek C36 = 0 by changing F15).</t>
        </is>
      </c>
      <c r="F26" s="56" t="n">
        <v>247.6211785115519</v>
      </c>
      <c r="G26" s="56" t="n">
        <v>246.8054619739611</v>
      </c>
      <c r="H26" s="56" t="n">
        <v>452.72376846189</v>
      </c>
      <c r="I26" s="56" t="n">
        <v>269.3334997941996</v>
      </c>
      <c r="J26" s="56" t="n">
        <v>447.2033413385166</v>
      </c>
      <c r="K26" s="56" t="n">
        <v>451.9210150555465</v>
      </c>
      <c r="L26" s="56" t="n">
        <v>268.5291558684961</v>
      </c>
      <c r="M26" s="56" t="n">
        <v>446.398242146763</v>
      </c>
      <c r="N26" s="56" t="n">
        <v>452.0930336458001</v>
      </c>
      <c r="O26" s="56" t="n">
        <v>268.7015152823643</v>
      </c>
      <c r="P26" s="56" t="n">
        <v>446.5707634027874</v>
      </c>
      <c r="Q26" s="56" t="n">
        <v>247.6211785115519</v>
      </c>
      <c r="R26" s="56" t="n">
        <v>246.8054619739611</v>
      </c>
      <c r="S26" s="56" t="n">
        <v>452.72376846189</v>
      </c>
      <c r="T26" s="56" t="n">
        <v>269.3334997941996</v>
      </c>
      <c r="U26" s="56" t="n">
        <v>447.2033413385166</v>
      </c>
      <c r="V26" s="56" t="n">
        <v>451.9210150555465</v>
      </c>
      <c r="W26" s="56" t="n">
        <v>268.5291558684961</v>
      </c>
      <c r="X26" s="56" t="n">
        <v>446.398242146763</v>
      </c>
      <c r="Y26" s="56" t="n">
        <v>452.0930336458001</v>
      </c>
      <c r="Z26" s="56" t="n">
        <v>268.7015152823643</v>
      </c>
      <c r="AA26" s="56" t="n">
        <v>446.5707634027874</v>
      </c>
    </row>
    <row r="27" ht="30" customHeight="1">
      <c r="A27" s="43" t="inlineStr">
        <is>
          <t>Capital cost</t>
        </is>
      </c>
      <c r="B27" s="44" t="inlineStr">
        <is>
          <t>Insurance, freight, transport</t>
        </is>
      </c>
      <c r="C27" s="45" t="inlineStr">
        <is>
          <t>F16</t>
        </is>
      </c>
      <c r="D27" s="45" t="inlineStr">
        <is>
          <t>% of equipment</t>
        </is>
      </c>
      <c r="E27" s="46" t="inlineStr">
        <is>
          <t>naruto / ERC Mid-Merit Financial Model default (ADV model reviewed 9 Oct 2026); unchanged across cases.</t>
        </is>
      </c>
      <c r="F27" s="51" t="n">
        <v>0.045</v>
      </c>
      <c r="G27" s="51" t="n">
        <v>0.045</v>
      </c>
      <c r="H27" s="51" t="n">
        <v>0.045</v>
      </c>
      <c r="I27" s="51" t="n">
        <v>0.045</v>
      </c>
      <c r="J27" s="51" t="n">
        <v>0.045</v>
      </c>
      <c r="K27" s="51" t="n">
        <v>0.045</v>
      </c>
      <c r="L27" s="51" t="n">
        <v>0.045</v>
      </c>
      <c r="M27" s="51" t="n">
        <v>0.045</v>
      </c>
      <c r="N27" s="51" t="n">
        <v>0.045</v>
      </c>
      <c r="O27" s="51" t="n">
        <v>0.045</v>
      </c>
      <c r="P27" s="51" t="n">
        <v>0.045</v>
      </c>
      <c r="Q27" s="51" t="n">
        <v>0.045</v>
      </c>
      <c r="R27" s="51" t="n">
        <v>0.045</v>
      </c>
      <c r="S27" s="51" t="n">
        <v>0.045</v>
      </c>
      <c r="T27" s="51" t="n">
        <v>0.045</v>
      </c>
      <c r="U27" s="51" t="n">
        <v>0.045</v>
      </c>
      <c r="V27" s="51" t="n">
        <v>0.045</v>
      </c>
      <c r="W27" s="51" t="n">
        <v>0.045</v>
      </c>
      <c r="X27" s="51" t="n">
        <v>0.045</v>
      </c>
      <c r="Y27" s="51" t="n">
        <v>0.045</v>
      </c>
      <c r="Z27" s="51" t="n">
        <v>0.045</v>
      </c>
      <c r="AA27" s="51" t="n">
        <v>0.045</v>
      </c>
    </row>
    <row r="28" ht="30" customHeight="1">
      <c r="A28" s="43" t="inlineStr">
        <is>
          <t>Capital cost</t>
        </is>
      </c>
      <c r="B28" s="44" t="inlineStr">
        <is>
          <t>Balance of plant</t>
        </is>
      </c>
      <c r="C28" s="45" t="inlineStr">
        <is>
          <t>F17</t>
        </is>
      </c>
      <c r="D28" s="45" t="inlineStr">
        <is>
          <t>% of equipment</t>
        </is>
      </c>
      <c r="E28" s="46" t="inlineStr">
        <is>
          <t>naruto / ERC Mid-Merit Financial Model default (ADV model reviewed 9 Oct 2026); unchanged across cases.</t>
        </is>
      </c>
      <c r="F28" s="51" t="n">
        <v>0.21</v>
      </c>
      <c r="G28" s="51" t="n">
        <v>0.21</v>
      </c>
      <c r="H28" s="51" t="n">
        <v>0.21</v>
      </c>
      <c r="I28" s="51" t="n">
        <v>0.21</v>
      </c>
      <c r="J28" s="51" t="n">
        <v>0.21</v>
      </c>
      <c r="K28" s="51" t="n">
        <v>0.21</v>
      </c>
      <c r="L28" s="51" t="n">
        <v>0.21</v>
      </c>
      <c r="M28" s="51" t="n">
        <v>0.21</v>
      </c>
      <c r="N28" s="51" t="n">
        <v>0.21</v>
      </c>
      <c r="O28" s="51" t="n">
        <v>0.21</v>
      </c>
      <c r="P28" s="51" t="n">
        <v>0.21</v>
      </c>
      <c r="Q28" s="51" t="n">
        <v>0.21</v>
      </c>
      <c r="R28" s="51" t="n">
        <v>0.21</v>
      </c>
      <c r="S28" s="51" t="n">
        <v>0.21</v>
      </c>
      <c r="T28" s="51" t="n">
        <v>0.21</v>
      </c>
      <c r="U28" s="51" t="n">
        <v>0.21</v>
      </c>
      <c r="V28" s="51" t="n">
        <v>0.21</v>
      </c>
      <c r="W28" s="51" t="n">
        <v>0.21</v>
      </c>
      <c r="X28" s="51" t="n">
        <v>0.21</v>
      </c>
      <c r="Y28" s="51" t="n">
        <v>0.21</v>
      </c>
      <c r="Z28" s="51" t="n">
        <v>0.21</v>
      </c>
      <c r="AA28" s="51" t="n">
        <v>0.21</v>
      </c>
    </row>
    <row r="29" ht="30" customHeight="1">
      <c r="A29" s="43" t="inlineStr">
        <is>
          <t>Capital cost</t>
        </is>
      </c>
      <c r="B29" s="44" t="inlineStr">
        <is>
          <t>Development and other costs</t>
        </is>
      </c>
      <c r="C29" s="45" t="inlineStr">
        <is>
          <t>F23</t>
        </is>
      </c>
      <c r="D29" s="45" t="inlineStr">
        <is>
          <t>% of EPC</t>
        </is>
      </c>
      <c r="E29" s="46" t="inlineStr">
        <is>
          <t>naruto / ERC Mid-Merit Financial Model default (ADV model reviewed 9 Oct 2026); unchanged across cases.</t>
        </is>
      </c>
      <c r="F29" s="51" t="n">
        <v>0.15</v>
      </c>
      <c r="G29" s="51" t="n">
        <v>0.15</v>
      </c>
      <c r="H29" s="51" t="n">
        <v>0.15</v>
      </c>
      <c r="I29" s="51" t="n">
        <v>0.15</v>
      </c>
      <c r="J29" s="51" t="n">
        <v>0.15</v>
      </c>
      <c r="K29" s="51" t="n">
        <v>0.15</v>
      </c>
      <c r="L29" s="51" t="n">
        <v>0.15</v>
      </c>
      <c r="M29" s="51" t="n">
        <v>0.15</v>
      </c>
      <c r="N29" s="51" t="n">
        <v>0.15</v>
      </c>
      <c r="O29" s="51" t="n">
        <v>0.15</v>
      </c>
      <c r="P29" s="51" t="n">
        <v>0.15</v>
      </c>
      <c r="Q29" s="51" t="n">
        <v>0.15</v>
      </c>
      <c r="R29" s="51" t="n">
        <v>0.15</v>
      </c>
      <c r="S29" s="51" t="n">
        <v>0.15</v>
      </c>
      <c r="T29" s="51" t="n">
        <v>0.15</v>
      </c>
      <c r="U29" s="51" t="n">
        <v>0.15</v>
      </c>
      <c r="V29" s="51" t="n">
        <v>0.15</v>
      </c>
      <c r="W29" s="51" t="n">
        <v>0.15</v>
      </c>
      <c r="X29" s="51" t="n">
        <v>0.15</v>
      </c>
      <c r="Y29" s="51" t="n">
        <v>0.15</v>
      </c>
      <c r="Z29" s="51" t="n">
        <v>0.15</v>
      </c>
      <c r="AA29" s="51" t="n">
        <v>0.15</v>
      </c>
    </row>
    <row r="30" ht="30" customHeight="1">
      <c r="A30" s="43" t="inlineStr">
        <is>
          <t>Capital cost</t>
        </is>
      </c>
      <c r="B30" s="44" t="inlineStr">
        <is>
          <t>Initial working capital</t>
        </is>
      </c>
      <c r="C30" s="45" t="inlineStr">
        <is>
          <t>F26</t>
        </is>
      </c>
      <c r="D30" s="45" t="inlineStr">
        <is>
          <t>% of EPC</t>
        </is>
      </c>
      <c r="E30" s="46" t="inlineStr">
        <is>
          <t>naruto / ERC Mid-Merit Financial Model default (ADV model reviewed 9 Oct 2026); unchanged across cases. (Annex A.24).</t>
        </is>
      </c>
      <c r="F30" s="51" t="n">
        <v>0.1103</v>
      </c>
      <c r="G30" s="51" t="n">
        <v>0.1103</v>
      </c>
      <c r="H30" s="51" t="n">
        <v>0.1103</v>
      </c>
      <c r="I30" s="51" t="n">
        <v>0.1103</v>
      </c>
      <c r="J30" s="51" t="n">
        <v>0.1103</v>
      </c>
      <c r="K30" s="51" t="n">
        <v>0.1103</v>
      </c>
      <c r="L30" s="51" t="n">
        <v>0.1103</v>
      </c>
      <c r="M30" s="51" t="n">
        <v>0.1103</v>
      </c>
      <c r="N30" s="51" t="n">
        <v>0.1103</v>
      </c>
      <c r="O30" s="51" t="n">
        <v>0.1103</v>
      </c>
      <c r="P30" s="51" t="n">
        <v>0.1103</v>
      </c>
      <c r="Q30" s="51" t="n">
        <v>0.1103</v>
      </c>
      <c r="R30" s="51" t="n">
        <v>0.1103</v>
      </c>
      <c r="S30" s="51" t="n">
        <v>0.1103</v>
      </c>
      <c r="T30" s="51" t="n">
        <v>0.1103</v>
      </c>
      <c r="U30" s="51" t="n">
        <v>0.1103</v>
      </c>
      <c r="V30" s="51" t="n">
        <v>0.1103</v>
      </c>
      <c r="W30" s="51" t="n">
        <v>0.1103</v>
      </c>
      <c r="X30" s="51" t="n">
        <v>0.1103</v>
      </c>
      <c r="Y30" s="51" t="n">
        <v>0.1103</v>
      </c>
      <c r="Z30" s="51" t="n">
        <v>0.1103</v>
      </c>
      <c r="AA30" s="51" t="n">
        <v>0.1103</v>
      </c>
    </row>
    <row r="31" ht="30" customHeight="1">
      <c r="A31" s="43" t="inlineStr">
        <is>
          <t>Capital cost</t>
        </is>
      </c>
      <c r="B31" s="44" t="inlineStr">
        <is>
          <t>Contingency</t>
        </is>
      </c>
      <c r="C31" s="45" t="inlineStr">
        <is>
          <t>F27</t>
        </is>
      </c>
      <c r="D31" s="45" t="inlineStr">
        <is>
          <t>% of total cost</t>
        </is>
      </c>
      <c r="E31" s="46" t="inlineStr">
        <is>
          <t>naruto / ERC Mid-Merit Financial Model default (ADV model reviewed 9 Oct 2026); unchanged across cases.</t>
        </is>
      </c>
      <c r="F31" s="51" t="n">
        <v>0.04</v>
      </c>
      <c r="G31" s="51" t="n">
        <v>0.04</v>
      </c>
      <c r="H31" s="51" t="n">
        <v>0.04</v>
      </c>
      <c r="I31" s="51" t="n">
        <v>0.04</v>
      </c>
      <c r="J31" s="51" t="n">
        <v>0.04</v>
      </c>
      <c r="K31" s="51" t="n">
        <v>0.04</v>
      </c>
      <c r="L31" s="51" t="n">
        <v>0.04</v>
      </c>
      <c r="M31" s="51" t="n">
        <v>0.04</v>
      </c>
      <c r="N31" s="51" t="n">
        <v>0.04</v>
      </c>
      <c r="O31" s="51" t="n">
        <v>0.04</v>
      </c>
      <c r="P31" s="51" t="n">
        <v>0.04</v>
      </c>
      <c r="Q31" s="51" t="n">
        <v>0.04</v>
      </c>
      <c r="R31" s="51" t="n">
        <v>0.04</v>
      </c>
      <c r="S31" s="51" t="n">
        <v>0.04</v>
      </c>
      <c r="T31" s="51" t="n">
        <v>0.04</v>
      </c>
      <c r="U31" s="51" t="n">
        <v>0.04</v>
      </c>
      <c r="V31" s="51" t="n">
        <v>0.04</v>
      </c>
      <c r="W31" s="51" t="n">
        <v>0.04</v>
      </c>
      <c r="X31" s="51" t="n">
        <v>0.04</v>
      </c>
      <c r="Y31" s="51" t="n">
        <v>0.04</v>
      </c>
      <c r="Z31" s="51" t="n">
        <v>0.04</v>
      </c>
      <c r="AA31" s="51" t="n">
        <v>0.04</v>
      </c>
    </row>
    <row r="32" ht="30" customHeight="1">
      <c r="A32" s="43" t="inlineStr">
        <is>
          <t>Capital cost</t>
        </is>
      </c>
      <c r="B32" s="44" t="inlineStr">
        <is>
          <t>Salvage value</t>
        </is>
      </c>
      <c r="C32" s="45" t="inlineStr">
        <is>
          <t>F35</t>
        </is>
      </c>
      <c r="D32" s="45" t="inlineStr">
        <is>
          <t>% of cost</t>
        </is>
      </c>
      <c r="E32" s="46" t="inlineStr">
        <is>
          <t>10% received in the last year (GAIR 8.8.7; C91 = 1).</t>
        </is>
      </c>
      <c r="F32" s="51" t="n">
        <v>0.1</v>
      </c>
      <c r="G32" s="51" t="n">
        <v>0.1</v>
      </c>
      <c r="H32" s="51" t="n">
        <v>0.1</v>
      </c>
      <c r="I32" s="51" t="n">
        <v>0.1</v>
      </c>
      <c r="J32" s="51" t="n">
        <v>0.1</v>
      </c>
      <c r="K32" s="51" t="n">
        <v>0.1</v>
      </c>
      <c r="L32" s="51" t="n">
        <v>0.1</v>
      </c>
      <c r="M32" s="51" t="n">
        <v>0.1</v>
      </c>
      <c r="N32" s="51" t="n">
        <v>0.1</v>
      </c>
      <c r="O32" s="51" t="n">
        <v>0.1</v>
      </c>
      <c r="P32" s="51" t="n">
        <v>0.1</v>
      </c>
      <c r="Q32" s="51" t="n">
        <v>0.1</v>
      </c>
      <c r="R32" s="51" t="n">
        <v>0.1</v>
      </c>
      <c r="S32" s="51" t="n">
        <v>0.1</v>
      </c>
      <c r="T32" s="51" t="n">
        <v>0.1</v>
      </c>
      <c r="U32" s="51" t="n">
        <v>0.1</v>
      </c>
      <c r="V32" s="51" t="n">
        <v>0.1</v>
      </c>
      <c r="W32" s="51" t="n">
        <v>0.1</v>
      </c>
      <c r="X32" s="51" t="n">
        <v>0.1</v>
      </c>
      <c r="Y32" s="51" t="n">
        <v>0.1</v>
      </c>
      <c r="Z32" s="51" t="n">
        <v>0.1</v>
      </c>
      <c r="AA32" s="51" t="n">
        <v>0.1</v>
      </c>
    </row>
    <row r="33" ht="30" customHeight="1">
      <c r="A33" s="43" t="inlineStr">
        <is>
          <t>Capital cost</t>
        </is>
      </c>
      <c r="B33" s="44" t="inlineStr">
        <is>
          <t>Major maintenance / refurbishment</t>
        </is>
      </c>
      <c r="C33" s="45" t="inlineStr">
        <is>
          <t>F39</t>
        </is>
      </c>
      <c r="D33" s="45" t="inlineStr">
        <is>
          <t>% of EPC</t>
        </is>
      </c>
      <c r="E33" s="46" t="inlineStr">
        <is>
          <t>naruto / ERC Mid-Merit Financial Model default (ADV model reviewed 9 Oct 2026); unchanged across cases. (Annex A.21).</t>
        </is>
      </c>
      <c r="F33" s="51" t="n">
        <v>0.05</v>
      </c>
      <c r="G33" s="51" t="n">
        <v>0.05</v>
      </c>
      <c r="H33" s="51" t="n">
        <v>0.05</v>
      </c>
      <c r="I33" s="51" t="n">
        <v>0.05</v>
      </c>
      <c r="J33" s="51" t="n">
        <v>0.05</v>
      </c>
      <c r="K33" s="51" t="n">
        <v>0.05</v>
      </c>
      <c r="L33" s="51" t="n">
        <v>0.05</v>
      </c>
      <c r="M33" s="51" t="n">
        <v>0.05</v>
      </c>
      <c r="N33" s="51" t="n">
        <v>0.05</v>
      </c>
      <c r="O33" s="51" t="n">
        <v>0.05</v>
      </c>
      <c r="P33" s="51" t="n">
        <v>0.05</v>
      </c>
      <c r="Q33" s="51" t="n">
        <v>0.05</v>
      </c>
      <c r="R33" s="51" t="n">
        <v>0.05</v>
      </c>
      <c r="S33" s="51" t="n">
        <v>0.05</v>
      </c>
      <c r="T33" s="51" t="n">
        <v>0.05</v>
      </c>
      <c r="U33" s="51" t="n">
        <v>0.05</v>
      </c>
      <c r="V33" s="51" t="n">
        <v>0.05</v>
      </c>
      <c r="W33" s="51" t="n">
        <v>0.05</v>
      </c>
      <c r="X33" s="51" t="n">
        <v>0.05</v>
      </c>
      <c r="Y33" s="51" t="n">
        <v>0.05</v>
      </c>
      <c r="Z33" s="51" t="n">
        <v>0.05</v>
      </c>
      <c r="AA33" s="51" t="n">
        <v>0.05</v>
      </c>
    </row>
    <row r="34" ht="30" customHeight="1">
      <c r="A34" s="43" t="inlineStr">
        <is>
          <t>Capital cost</t>
        </is>
      </c>
      <c r="B34" s="44" t="inlineStr">
        <is>
          <t>Timing of refurbishment</t>
        </is>
      </c>
      <c r="C34" s="45" t="inlineStr">
        <is>
          <t>F40</t>
        </is>
      </c>
      <c r="D34" s="45" t="inlineStr">
        <is>
          <t>yr from COD</t>
        </is>
      </c>
      <c r="E34" s="46" t="inlineStr">
        <is>
          <t>naruto / ERC Mid-Merit Financial Model default (ADV model reviewed 9 Oct 2026); unchanged across cases. (Annex A.21).</t>
        </is>
      </c>
      <c r="F34" s="48" t="n">
        <v>15</v>
      </c>
      <c r="G34" s="48" t="n">
        <v>15</v>
      </c>
      <c r="H34" s="48" t="n">
        <v>15</v>
      </c>
      <c r="I34" s="48" t="n">
        <v>15</v>
      </c>
      <c r="J34" s="48" t="n">
        <v>15</v>
      </c>
      <c r="K34" s="48" t="n">
        <v>15</v>
      </c>
      <c r="L34" s="48" t="n">
        <v>15</v>
      </c>
      <c r="M34" s="48" t="n">
        <v>15</v>
      </c>
      <c r="N34" s="48" t="n">
        <v>15</v>
      </c>
      <c r="O34" s="48" t="n">
        <v>15</v>
      </c>
      <c r="P34" s="48" t="n">
        <v>15</v>
      </c>
      <c r="Q34" s="48" t="n">
        <v>15</v>
      </c>
      <c r="R34" s="48" t="n">
        <v>15</v>
      </c>
      <c r="S34" s="48" t="n">
        <v>15</v>
      </c>
      <c r="T34" s="48" t="n">
        <v>15</v>
      </c>
      <c r="U34" s="48" t="n">
        <v>15</v>
      </c>
      <c r="V34" s="48" t="n">
        <v>15</v>
      </c>
      <c r="W34" s="48" t="n">
        <v>15</v>
      </c>
      <c r="X34" s="48" t="n">
        <v>15</v>
      </c>
      <c r="Y34" s="48" t="n">
        <v>15</v>
      </c>
      <c r="Z34" s="48" t="n">
        <v>15</v>
      </c>
      <c r="AA34" s="48" t="n">
        <v>15</v>
      </c>
    </row>
    <row r="35">
      <c r="A35" s="41" t="inlineStr">
        <is>
          <t>4. O&amp;M and logistics</t>
        </is>
      </c>
      <c r="B35" s="42" t="n"/>
      <c r="C35" s="42" t="n"/>
      <c r="D35" s="42" t="n"/>
      <c r="E35" s="42" t="n"/>
      <c r="F35" s="42" t="n"/>
      <c r="G35" s="42" t="n"/>
      <c r="H35" s="42" t="n"/>
      <c r="I35" s="42" t="n"/>
      <c r="J35" s="42" t="n"/>
      <c r="K35" s="42" t="n"/>
      <c r="L35" s="42" t="n"/>
      <c r="M35" s="42" t="n"/>
      <c r="N35" s="42" t="n"/>
      <c r="O35" s="42" t="n"/>
      <c r="P35" s="42" t="n"/>
      <c r="Q35" s="42" t="n"/>
      <c r="R35" s="42" t="n"/>
      <c r="S35" s="42" t="n"/>
      <c r="T35" s="42" t="n"/>
      <c r="U35" s="42" t="n"/>
      <c r="V35" s="42" t="n"/>
      <c r="W35" s="42" t="n"/>
      <c r="X35" s="42" t="n"/>
      <c r="Y35" s="42" t="n"/>
      <c r="Z35" s="42" t="n"/>
      <c r="AA35" s="42" t="n"/>
    </row>
    <row r="36" ht="30" customHeight="1">
      <c r="A36" s="43" t="inlineStr">
        <is>
          <t>O&amp;M and logistics</t>
        </is>
      </c>
      <c r="B36" s="44" t="inlineStr">
        <is>
          <t>Fixed O&amp;M</t>
        </is>
      </c>
      <c r="C36" s="45" t="inlineStr">
        <is>
          <t>—</t>
        </is>
      </c>
      <c r="D36" s="45" t="inlineStr">
        <is>
          <t>US$/kW-yr</t>
        </is>
      </c>
      <c r="E36" s="46" t="inlineStr">
        <is>
          <t>Varies by case — see the comment on each value.</t>
        </is>
      </c>
      <c r="F36" s="50" t="n">
        <v>13.71</v>
      </c>
      <c r="G36" s="50" t="n">
        <v>13.71</v>
      </c>
      <c r="H36" s="50" t="n">
        <v>13.71</v>
      </c>
      <c r="I36" s="50" t="n">
        <v>8.5</v>
      </c>
      <c r="J36" s="50" t="n">
        <v>16.5</v>
      </c>
      <c r="K36" s="50" t="n">
        <v>13.71</v>
      </c>
      <c r="L36" s="50" t="n">
        <v>8.5</v>
      </c>
      <c r="M36" s="50" t="n">
        <v>16.5</v>
      </c>
      <c r="N36" s="50" t="n">
        <v>13.71</v>
      </c>
      <c r="O36" s="50" t="n">
        <v>8.5</v>
      </c>
      <c r="P36" s="50" t="n">
        <v>16.5</v>
      </c>
      <c r="Q36" s="50" t="n">
        <v>13.71</v>
      </c>
      <c r="R36" s="50" t="n">
        <v>13.71</v>
      </c>
      <c r="S36" s="50" t="n">
        <v>13.71</v>
      </c>
      <c r="T36" s="50" t="n">
        <v>8.5</v>
      </c>
      <c r="U36" s="50" t="n">
        <v>16.5</v>
      </c>
      <c r="V36" s="50" t="n">
        <v>13.71</v>
      </c>
      <c r="W36" s="50" t="n">
        <v>8.5</v>
      </c>
      <c r="X36" s="50" t="n">
        <v>16.5</v>
      </c>
      <c r="Y36" s="50" t="n">
        <v>13.71</v>
      </c>
      <c r="Z36" s="50" t="n">
        <v>8.5</v>
      </c>
      <c r="AA36" s="50" t="n">
        <v>16.5</v>
      </c>
    </row>
    <row r="37" ht="30" customHeight="1">
      <c r="A37" s="43" t="inlineStr">
        <is>
          <t>O&amp;M and logistics</t>
        </is>
      </c>
      <c r="B37" s="44" t="inlineStr">
        <is>
          <t>Fixed O&amp;M (model input)</t>
        </is>
      </c>
      <c r="C37" s="45" t="inlineStr">
        <is>
          <t>F36</t>
        </is>
      </c>
      <c r="D37" s="45" t="inlineStr">
        <is>
          <t>$000/unit/yr</t>
        </is>
      </c>
      <c r="E37" s="46" t="inlineStr">
        <is>
          <t>US$/kW-yr x unit MW.</t>
        </is>
      </c>
      <c r="F37" s="57" t="n">
        <v>6398.000000000001</v>
      </c>
      <c r="G37" s="57" t="n">
        <v>6855</v>
      </c>
      <c r="H37" s="57" t="n">
        <v>6855</v>
      </c>
      <c r="I37" s="57" t="n">
        <v>1700</v>
      </c>
      <c r="J37" s="47" t="n">
        <v>825</v>
      </c>
      <c r="K37" s="57" t="n">
        <v>6032.400000000001</v>
      </c>
      <c r="L37" s="57" t="n">
        <v>1870</v>
      </c>
      <c r="M37" s="47" t="n">
        <v>363</v>
      </c>
      <c r="N37" s="57" t="n">
        <v>6855</v>
      </c>
      <c r="O37" s="57" t="n">
        <v>2125</v>
      </c>
      <c r="P37" s="47" t="n">
        <v>412.5</v>
      </c>
      <c r="Q37" s="57" t="n">
        <v>6398.000000000001</v>
      </c>
      <c r="R37" s="57" t="n">
        <v>6855</v>
      </c>
      <c r="S37" s="57" t="n">
        <v>6855</v>
      </c>
      <c r="T37" s="57" t="n">
        <v>1700</v>
      </c>
      <c r="U37" s="47" t="n">
        <v>825</v>
      </c>
      <c r="V37" s="57" t="n">
        <v>6032.400000000001</v>
      </c>
      <c r="W37" s="57" t="n">
        <v>1870</v>
      </c>
      <c r="X37" s="47" t="n">
        <v>363</v>
      </c>
      <c r="Y37" s="57" t="n">
        <v>6855</v>
      </c>
      <c r="Z37" s="57" t="n">
        <v>2125</v>
      </c>
      <c r="AA37" s="47" t="n">
        <v>412.5</v>
      </c>
    </row>
    <row r="38" ht="30" customHeight="1">
      <c r="A38" s="43" t="inlineStr">
        <is>
          <t>O&amp;M and logistics</t>
        </is>
      </c>
      <c r="B38" s="44" t="inlineStr">
        <is>
          <t>Variable non-fuel O&amp;M</t>
        </is>
      </c>
      <c r="C38" s="45" t="inlineStr">
        <is>
          <t>—</t>
        </is>
      </c>
      <c r="D38" s="45" t="inlineStr">
        <is>
          <t>US$/MWh</t>
        </is>
      </c>
      <c r="E38" s="46" t="inlineStr">
        <is>
          <t>Varies by case — see the comment on each value.</t>
        </is>
      </c>
      <c r="F38" s="50" t="n">
        <v>2</v>
      </c>
      <c r="G38" s="50" t="n">
        <v>2</v>
      </c>
      <c r="H38" s="50" t="n">
        <v>2</v>
      </c>
      <c r="I38" s="50" t="n">
        <v>4.5</v>
      </c>
      <c r="J38" s="50" t="n">
        <v>3.8</v>
      </c>
      <c r="K38" s="50" t="n">
        <v>2</v>
      </c>
      <c r="L38" s="50" t="n">
        <v>4.5</v>
      </c>
      <c r="M38" s="50" t="n">
        <v>3.8</v>
      </c>
      <c r="N38" s="50" t="n">
        <v>2</v>
      </c>
      <c r="O38" s="50" t="n">
        <v>4.5</v>
      </c>
      <c r="P38" s="50" t="n">
        <v>3.8</v>
      </c>
      <c r="Q38" s="50" t="n">
        <v>2</v>
      </c>
      <c r="R38" s="50" t="n">
        <v>2</v>
      </c>
      <c r="S38" s="50" t="n">
        <v>2</v>
      </c>
      <c r="T38" s="50" t="n">
        <v>4.5</v>
      </c>
      <c r="U38" s="50" t="n">
        <v>3.8</v>
      </c>
      <c r="V38" s="50" t="n">
        <v>2</v>
      </c>
      <c r="W38" s="50" t="n">
        <v>4.5</v>
      </c>
      <c r="X38" s="50" t="n">
        <v>3.8</v>
      </c>
      <c r="Y38" s="50" t="n">
        <v>2</v>
      </c>
      <c r="Z38" s="50" t="n">
        <v>4.5</v>
      </c>
      <c r="AA38" s="50" t="n">
        <v>3.8</v>
      </c>
    </row>
    <row r="39" ht="30" customHeight="1">
      <c r="A39" s="43" t="inlineStr">
        <is>
          <t>O&amp;M and logistics</t>
        </is>
      </c>
      <c r="B39" s="44" t="inlineStr">
        <is>
          <t>Logistics cap (CLLC)</t>
        </is>
      </c>
      <c r="C39" s="45" t="inlineStr">
        <is>
          <t>—</t>
        </is>
      </c>
      <c r="D39" s="45" t="inlineStr">
        <is>
          <t>US$/MMBtu</t>
        </is>
      </c>
      <c r="E39" s="46" t="inlineStr">
        <is>
          <t>Varies by case — see the comment on each value.</t>
        </is>
      </c>
      <c r="F39" s="50" t="n">
        <v>1.9</v>
      </c>
      <c r="G39" s="50" t="n">
        <v>1.9</v>
      </c>
      <c r="H39" s="50" t="n">
        <v>1.9</v>
      </c>
      <c r="I39" s="50" t="n">
        <v>1.9</v>
      </c>
      <c r="J39" s="50" t="n">
        <v>1.9</v>
      </c>
      <c r="K39" s="50" t="n">
        <v>3.149999999999999</v>
      </c>
      <c r="L39" s="50" t="n">
        <v>3.149999999999999</v>
      </c>
      <c r="M39" s="50" t="n">
        <v>3.149999999999999</v>
      </c>
      <c r="N39" s="50" t="n">
        <v>3.149999999999999</v>
      </c>
      <c r="O39" s="50" t="n">
        <v>3.149999999999999</v>
      </c>
      <c r="P39" s="50" t="n">
        <v>3.149999999999999</v>
      </c>
      <c r="Q39" s="50" t="n">
        <v>1.9</v>
      </c>
      <c r="R39" s="50" t="n">
        <v>1.9</v>
      </c>
      <c r="S39" s="50" t="n">
        <v>1.9</v>
      </c>
      <c r="T39" s="50" t="n">
        <v>1.9</v>
      </c>
      <c r="U39" s="50" t="n">
        <v>1.9</v>
      </c>
      <c r="V39" s="50" t="n">
        <v>3.149999999999999</v>
      </c>
      <c r="W39" s="50" t="n">
        <v>3.149999999999999</v>
      </c>
      <c r="X39" s="50" t="n">
        <v>3.149999999999999</v>
      </c>
      <c r="Y39" s="50" t="n">
        <v>3.149999999999999</v>
      </c>
      <c r="Z39" s="50" t="n">
        <v>3.149999999999999</v>
      </c>
      <c r="AA39" s="50" t="n">
        <v>3.149999999999999</v>
      </c>
    </row>
    <row r="40" ht="30" customHeight="1">
      <c r="A40" s="43" t="inlineStr">
        <is>
          <t>O&amp;M and logistics</t>
        </is>
      </c>
      <c r="B40" s="44" t="inlineStr">
        <is>
          <t>Variable O&amp;M excl. logistics (model input)</t>
        </is>
      </c>
      <c r="C40" s="45" t="inlineStr">
        <is>
          <t>F37</t>
        </is>
      </c>
      <c r="D40" s="45" t="inlineStr">
        <is>
          <t>$000/MW/yr</t>
        </is>
      </c>
      <c r="E40" s="46" t="inlineStr">
        <is>
          <t>VOM x 8,760 x energy CF / 1,000. Logistics (CLLC) removed: it is paid through the Fuel Cost (GAIR Sec. 8.6, decision of 19 Oct 2026).</t>
        </is>
      </c>
      <c r="F40" s="107" t="n">
        <v>11.5632</v>
      </c>
      <c r="G40" s="107" t="n">
        <v>7.3584</v>
      </c>
      <c r="H40" s="107" t="n">
        <v>7.3584</v>
      </c>
      <c r="I40" s="107" t="n">
        <v>16.5564</v>
      </c>
      <c r="J40" s="107" t="n">
        <v>13.98096</v>
      </c>
      <c r="K40" s="107" t="n">
        <v>7.358400000000002</v>
      </c>
      <c r="L40" s="107" t="n">
        <v>16.5564</v>
      </c>
      <c r="M40" s="107" t="n">
        <v>13.98096</v>
      </c>
      <c r="N40" s="107" t="n">
        <v>7.358400000000002</v>
      </c>
      <c r="O40" s="107" t="n">
        <v>16.5564</v>
      </c>
      <c r="P40" s="107" t="n">
        <v>13.98096</v>
      </c>
      <c r="Q40" s="107" t="n">
        <v>11.70343733265825</v>
      </c>
      <c r="R40" s="107" t="n">
        <v>11.70343733265825</v>
      </c>
      <c r="S40" s="107" t="n">
        <v>11.05934090618748</v>
      </c>
      <c r="T40" s="107" t="n">
        <v>24.88351703892183</v>
      </c>
      <c r="U40" s="107" t="n">
        <v>21.01274772175622</v>
      </c>
      <c r="V40" s="107" t="n">
        <v>11.05934090618748</v>
      </c>
      <c r="W40" s="107" t="n">
        <v>24.88351703892184</v>
      </c>
      <c r="X40" s="107" t="n">
        <v>21.01274772175622</v>
      </c>
      <c r="Y40" s="107" t="n">
        <v>11.05934090618748</v>
      </c>
      <c r="Z40" s="107" t="n">
        <v>24.88351703892184</v>
      </c>
      <c r="AA40" s="107" t="n">
        <v>21.01274772175622</v>
      </c>
    </row>
    <row r="41" ht="30" customHeight="1">
      <c r="A41" s="43" t="inlineStr">
        <is>
          <t>O&amp;M and logistics</t>
        </is>
      </c>
      <c r="B41" s="44" t="inlineStr">
        <is>
          <t>G&amp;A</t>
        </is>
      </c>
      <c r="C41" s="45" t="inlineStr">
        <is>
          <t>F41</t>
        </is>
      </c>
      <c r="D41" s="45" t="inlineStr">
        <is>
          <t>$000/yr</t>
        </is>
      </c>
      <c r="E41" s="46" t="inlineStr">
        <is>
          <t>6% of fixed + variable O&amp;M (draft Resolution 2; corporate overhead standard).</t>
        </is>
      </c>
      <c r="F41" s="57" t="n">
        <v>2122.9488</v>
      </c>
      <c r="G41" s="47" t="n">
        <v>632.052</v>
      </c>
      <c r="H41" s="57" t="n">
        <v>1264.104</v>
      </c>
      <c r="I41" s="57" t="n">
        <v>1503.384</v>
      </c>
      <c r="J41" s="57" t="n">
        <v>1828.8576</v>
      </c>
      <c r="K41" s="47" t="n">
        <v>556.2057600000001</v>
      </c>
      <c r="L41" s="47" t="n">
        <v>661.4889599999999</v>
      </c>
      <c r="M41" s="47" t="n">
        <v>804.6973439999999</v>
      </c>
      <c r="N41" s="47" t="n">
        <v>632.052</v>
      </c>
      <c r="O41" s="47" t="n">
        <v>751.6919999999999</v>
      </c>
      <c r="P41" s="47" t="n">
        <v>914.4287999999999</v>
      </c>
      <c r="Q41" s="57" t="n">
        <v>2134.728735943293</v>
      </c>
      <c r="R41" s="47" t="n">
        <v>762.4031199797475</v>
      </c>
      <c r="S41" s="57" t="n">
        <v>1486.160454371249</v>
      </c>
      <c r="T41" s="57" t="n">
        <v>2003.01102233531</v>
      </c>
      <c r="U41" s="57" t="n">
        <v>2250.764863305373</v>
      </c>
      <c r="V41" s="47" t="n">
        <v>653.9105999233495</v>
      </c>
      <c r="W41" s="47" t="n">
        <v>881.3248498275364</v>
      </c>
      <c r="X41" s="47" t="n">
        <v>990.3365398543642</v>
      </c>
      <c r="Y41" s="47" t="n">
        <v>743.0802271856245</v>
      </c>
      <c r="Z41" s="57" t="n">
        <v>1001.505511167655</v>
      </c>
      <c r="AA41" s="57" t="n">
        <v>1125.382431652686</v>
      </c>
    </row>
    <row r="42">
      <c r="A42" s="41" t="inlineStr">
        <is>
          <t>5. Financing</t>
        </is>
      </c>
      <c r="B42" s="42" t="n"/>
      <c r="C42" s="42" t="n"/>
      <c r="D42" s="42" t="n"/>
      <c r="E42" s="42" t="n"/>
      <c r="F42" s="42" t="n"/>
      <c r="G42" s="42" t="n"/>
      <c r="H42" s="42" t="n"/>
      <c r="I42" s="42" t="n"/>
      <c r="J42" s="42" t="n"/>
      <c r="K42" s="42" t="n"/>
      <c r="L42" s="42" t="n"/>
      <c r="M42" s="42" t="n"/>
      <c r="N42" s="42" t="n"/>
      <c r="O42" s="42" t="n"/>
      <c r="P42" s="42" t="n"/>
      <c r="Q42" s="42" t="n"/>
      <c r="R42" s="42" t="n"/>
      <c r="S42" s="42" t="n"/>
      <c r="T42" s="42" t="n"/>
      <c r="U42" s="42" t="n"/>
      <c r="V42" s="42" t="n"/>
      <c r="W42" s="42" t="n"/>
      <c r="X42" s="42" t="n"/>
      <c r="Y42" s="42" t="n"/>
      <c r="Z42" s="42" t="n"/>
      <c r="AA42" s="42" t="n"/>
    </row>
    <row r="43" ht="30" customHeight="1">
      <c r="A43" s="43" t="inlineStr">
        <is>
          <t>Financing</t>
        </is>
      </c>
      <c r="B43" s="44" t="inlineStr">
        <is>
          <t>Debt share</t>
        </is>
      </c>
      <c r="C43" s="45" t="inlineStr">
        <is>
          <t>J18</t>
        </is>
      </c>
      <c r="D43" s="45" t="inlineStr">
        <is>
          <t>%</t>
        </is>
      </c>
      <c r="E43" s="46" t="inlineStr">
        <is>
          <t>70:30 debt:equity, commercial project-finance standard (draft Resolution 2, Annex A.9).</t>
        </is>
      </c>
      <c r="F43" s="51" t="n">
        <v>0.7</v>
      </c>
      <c r="G43" s="51" t="n">
        <v>0.7</v>
      </c>
      <c r="H43" s="51" t="n">
        <v>0.7</v>
      </c>
      <c r="I43" s="51" t="n">
        <v>0.7</v>
      </c>
      <c r="J43" s="51" t="n">
        <v>0.7</v>
      </c>
      <c r="K43" s="51" t="n">
        <v>0.7</v>
      </c>
      <c r="L43" s="51" t="n">
        <v>0.7</v>
      </c>
      <c r="M43" s="51" t="n">
        <v>0.7</v>
      </c>
      <c r="N43" s="51" t="n">
        <v>0.7</v>
      </c>
      <c r="O43" s="51" t="n">
        <v>0.7</v>
      </c>
      <c r="P43" s="51" t="n">
        <v>0.7</v>
      </c>
      <c r="Q43" s="51" t="n">
        <v>0.7</v>
      </c>
      <c r="R43" s="51" t="n">
        <v>0.7</v>
      </c>
      <c r="S43" s="51" t="n">
        <v>0.7</v>
      </c>
      <c r="T43" s="51" t="n">
        <v>0.7</v>
      </c>
      <c r="U43" s="51" t="n">
        <v>0.7</v>
      </c>
      <c r="V43" s="51" t="n">
        <v>0.7</v>
      </c>
      <c r="W43" s="51" t="n">
        <v>0.7</v>
      </c>
      <c r="X43" s="51" t="n">
        <v>0.7</v>
      </c>
      <c r="Y43" s="51" t="n">
        <v>0.7</v>
      </c>
      <c r="Z43" s="51" t="n">
        <v>0.7</v>
      </c>
      <c r="AA43" s="51" t="n">
        <v>0.7</v>
      </c>
    </row>
    <row r="44" ht="30" customHeight="1">
      <c r="A44" s="43" t="inlineStr">
        <is>
          <t>Financing</t>
        </is>
      </c>
      <c r="B44" s="44" t="inlineStr">
        <is>
          <t>Cost of debt (local and foreign)</t>
        </is>
      </c>
      <c r="C44" s="45" t="inlineStr">
        <is>
          <t>J12</t>
        </is>
      </c>
      <c r="D44" s="45" t="inlineStr">
        <is>
          <t>% p.a.</t>
        </is>
      </c>
      <c r="E44" s="46" t="inlineStr">
        <is>
          <t>8% pre-tax (draft Resolution 2, A.10; local ~7.5%, USD ~8.5%).</t>
        </is>
      </c>
      <c r="F44" s="51" t="n">
        <v>0.08</v>
      </c>
      <c r="G44" s="51" t="n">
        <v>0.08</v>
      </c>
      <c r="H44" s="51" t="n">
        <v>0.08</v>
      </c>
      <c r="I44" s="51" t="n">
        <v>0.08</v>
      </c>
      <c r="J44" s="51" t="n">
        <v>0.08</v>
      </c>
      <c r="K44" s="51" t="n">
        <v>0.08</v>
      </c>
      <c r="L44" s="51" t="n">
        <v>0.08</v>
      </c>
      <c r="M44" s="51" t="n">
        <v>0.08</v>
      </c>
      <c r="N44" s="51" t="n">
        <v>0.08</v>
      </c>
      <c r="O44" s="51" t="n">
        <v>0.08</v>
      </c>
      <c r="P44" s="51" t="n">
        <v>0.08</v>
      </c>
      <c r="Q44" s="51" t="n">
        <v>0.08</v>
      </c>
      <c r="R44" s="51" t="n">
        <v>0.08</v>
      </c>
      <c r="S44" s="51" t="n">
        <v>0.08</v>
      </c>
      <c r="T44" s="51" t="n">
        <v>0.08</v>
      </c>
      <c r="U44" s="51" t="n">
        <v>0.08</v>
      </c>
      <c r="V44" s="51" t="n">
        <v>0.08</v>
      </c>
      <c r="W44" s="51" t="n">
        <v>0.08</v>
      </c>
      <c r="X44" s="51" t="n">
        <v>0.08</v>
      </c>
      <c r="Y44" s="51" t="n">
        <v>0.08</v>
      </c>
      <c r="Z44" s="51" t="n">
        <v>0.08</v>
      </c>
      <c r="AA44" s="51" t="n">
        <v>0.08</v>
      </c>
    </row>
    <row r="45" ht="30" customHeight="1">
      <c r="A45" s="43" t="inlineStr">
        <is>
          <t>Financing</t>
        </is>
      </c>
      <c r="B45" s="44" t="inlineStr">
        <is>
          <t>Debt repayment period</t>
        </is>
      </c>
      <c r="C45" s="45" t="inlineStr">
        <is>
          <t>J13</t>
        </is>
      </c>
      <c r="D45" s="45" t="inlineStr">
        <is>
          <t>yrs</t>
        </is>
      </c>
      <c r="E45" s="46" t="inlineStr">
        <is>
          <t>15 years (draft Resolution 2, A.11).</t>
        </is>
      </c>
      <c r="F45" s="48" t="n">
        <v>15</v>
      </c>
      <c r="G45" s="48" t="n">
        <v>15</v>
      </c>
      <c r="H45" s="48" t="n">
        <v>15</v>
      </c>
      <c r="I45" s="48" t="n">
        <v>15</v>
      </c>
      <c r="J45" s="48" t="n">
        <v>15</v>
      </c>
      <c r="K45" s="48" t="n">
        <v>15</v>
      </c>
      <c r="L45" s="48" t="n">
        <v>15</v>
      </c>
      <c r="M45" s="48" t="n">
        <v>15</v>
      </c>
      <c r="N45" s="48" t="n">
        <v>15</v>
      </c>
      <c r="O45" s="48" t="n">
        <v>15</v>
      </c>
      <c r="P45" s="48" t="n">
        <v>15</v>
      </c>
      <c r="Q45" s="48" t="n">
        <v>15</v>
      </c>
      <c r="R45" s="48" t="n">
        <v>15</v>
      </c>
      <c r="S45" s="48" t="n">
        <v>15</v>
      </c>
      <c r="T45" s="48" t="n">
        <v>15</v>
      </c>
      <c r="U45" s="48" t="n">
        <v>15</v>
      </c>
      <c r="V45" s="48" t="n">
        <v>15</v>
      </c>
      <c r="W45" s="48" t="n">
        <v>15</v>
      </c>
      <c r="X45" s="48" t="n">
        <v>15</v>
      </c>
      <c r="Y45" s="48" t="n">
        <v>15</v>
      </c>
      <c r="Z45" s="48" t="n">
        <v>15</v>
      </c>
      <c r="AA45" s="48" t="n">
        <v>15</v>
      </c>
    </row>
    <row r="46" ht="30" customHeight="1">
      <c r="A46" s="43" t="inlineStr">
        <is>
          <t>Financing</t>
        </is>
      </c>
      <c r="B46" s="44" t="inlineStr">
        <is>
          <t>Grace period from COD</t>
        </is>
      </c>
      <c r="C46" s="45" t="inlineStr">
        <is>
          <t>J16</t>
        </is>
      </c>
      <c r="D46" s="45" t="inlineStr">
        <is>
          <t>months</t>
        </is>
      </c>
      <c r="E46" s="46" t="inlineStr">
        <is>
          <t>naruto / ERC Mid-Merit Financial Model default (ADV model reviewed 9 Oct 2026); unchanged across cases. (A.25).</t>
        </is>
      </c>
      <c r="F46" s="48" t="n">
        <v>6</v>
      </c>
      <c r="G46" s="48" t="n">
        <v>6</v>
      </c>
      <c r="H46" s="48" t="n">
        <v>6</v>
      </c>
      <c r="I46" s="48" t="n">
        <v>6</v>
      </c>
      <c r="J46" s="48" t="n">
        <v>6</v>
      </c>
      <c r="K46" s="48" t="n">
        <v>6</v>
      </c>
      <c r="L46" s="48" t="n">
        <v>6</v>
      </c>
      <c r="M46" s="48" t="n">
        <v>6</v>
      </c>
      <c r="N46" s="48" t="n">
        <v>6</v>
      </c>
      <c r="O46" s="48" t="n">
        <v>6</v>
      </c>
      <c r="P46" s="48" t="n">
        <v>6</v>
      </c>
      <c r="Q46" s="48" t="n">
        <v>6</v>
      </c>
      <c r="R46" s="48" t="n">
        <v>6</v>
      </c>
      <c r="S46" s="48" t="n">
        <v>6</v>
      </c>
      <c r="T46" s="48" t="n">
        <v>6</v>
      </c>
      <c r="U46" s="48" t="n">
        <v>6</v>
      </c>
      <c r="V46" s="48" t="n">
        <v>6</v>
      </c>
      <c r="W46" s="48" t="n">
        <v>6</v>
      </c>
      <c r="X46" s="48" t="n">
        <v>6</v>
      </c>
      <c r="Y46" s="48" t="n">
        <v>6</v>
      </c>
      <c r="Z46" s="48" t="n">
        <v>6</v>
      </c>
      <c r="AA46" s="48" t="n">
        <v>6</v>
      </c>
    </row>
    <row r="47" ht="30" customHeight="1">
      <c r="A47" s="43" t="inlineStr">
        <is>
          <t>Financing</t>
        </is>
      </c>
      <c r="B47" s="44" t="inlineStr">
        <is>
          <t>Debt service reserve</t>
        </is>
      </c>
      <c r="C47" s="45" t="inlineStr">
        <is>
          <t>J17</t>
        </is>
      </c>
      <c r="D47" s="45" t="inlineStr">
        <is>
          <t>months</t>
        </is>
      </c>
      <c r="E47" s="46" t="inlineStr">
        <is>
          <t>naruto / ERC Mid-Merit Financial Model default (ADV model reviewed 9 Oct 2026); unchanged across cases.</t>
        </is>
      </c>
      <c r="F47" s="48" t="n">
        <v>6</v>
      </c>
      <c r="G47" s="48" t="n">
        <v>6</v>
      </c>
      <c r="H47" s="48" t="n">
        <v>6</v>
      </c>
      <c r="I47" s="48" t="n">
        <v>6</v>
      </c>
      <c r="J47" s="48" t="n">
        <v>6</v>
      </c>
      <c r="K47" s="48" t="n">
        <v>6</v>
      </c>
      <c r="L47" s="48" t="n">
        <v>6</v>
      </c>
      <c r="M47" s="48" t="n">
        <v>6</v>
      </c>
      <c r="N47" s="48" t="n">
        <v>6</v>
      </c>
      <c r="O47" s="48" t="n">
        <v>6</v>
      </c>
      <c r="P47" s="48" t="n">
        <v>6</v>
      </c>
      <c r="Q47" s="48" t="n">
        <v>6</v>
      </c>
      <c r="R47" s="48" t="n">
        <v>6</v>
      </c>
      <c r="S47" s="48" t="n">
        <v>6</v>
      </c>
      <c r="T47" s="48" t="n">
        <v>6</v>
      </c>
      <c r="U47" s="48" t="n">
        <v>6</v>
      </c>
      <c r="V47" s="48" t="n">
        <v>6</v>
      </c>
      <c r="W47" s="48" t="n">
        <v>6</v>
      </c>
      <c r="X47" s="48" t="n">
        <v>6</v>
      </c>
      <c r="Y47" s="48" t="n">
        <v>6</v>
      </c>
      <c r="Z47" s="48" t="n">
        <v>6</v>
      </c>
      <c r="AA47" s="48" t="n">
        <v>6</v>
      </c>
    </row>
    <row r="48" ht="30" customHeight="1">
      <c r="A48" s="43" t="inlineStr">
        <is>
          <t>Financing</t>
        </is>
      </c>
      <c r="B48" s="44" t="inlineStr">
        <is>
          <t>Upfront and financing fees</t>
        </is>
      </c>
      <c r="C48" s="45" t="inlineStr">
        <is>
          <t>J10</t>
        </is>
      </c>
      <c r="D48" s="45" t="inlineStr">
        <is>
          <t>%</t>
        </is>
      </c>
      <c r="E48" s="46" t="inlineStr">
        <is>
          <t>naruto / ERC Mid-Merit Financial Model default (ADV model reviewed 9 Oct 2026); unchanged across cases.</t>
        </is>
      </c>
      <c r="F48" s="51" t="n">
        <v>0.02</v>
      </c>
      <c r="G48" s="51" t="n">
        <v>0.02</v>
      </c>
      <c r="H48" s="51" t="n">
        <v>0.02</v>
      </c>
      <c r="I48" s="51" t="n">
        <v>0.02</v>
      </c>
      <c r="J48" s="51" t="n">
        <v>0.02</v>
      </c>
      <c r="K48" s="51" t="n">
        <v>0.02</v>
      </c>
      <c r="L48" s="51" t="n">
        <v>0.02</v>
      </c>
      <c r="M48" s="51" t="n">
        <v>0.02</v>
      </c>
      <c r="N48" s="51" t="n">
        <v>0.02</v>
      </c>
      <c r="O48" s="51" t="n">
        <v>0.02</v>
      </c>
      <c r="P48" s="51" t="n">
        <v>0.02</v>
      </c>
      <c r="Q48" s="51" t="n">
        <v>0.02</v>
      </c>
      <c r="R48" s="51" t="n">
        <v>0.02</v>
      </c>
      <c r="S48" s="51" t="n">
        <v>0.02</v>
      </c>
      <c r="T48" s="51" t="n">
        <v>0.02</v>
      </c>
      <c r="U48" s="51" t="n">
        <v>0.02</v>
      </c>
      <c r="V48" s="51" t="n">
        <v>0.02</v>
      </c>
      <c r="W48" s="51" t="n">
        <v>0.02</v>
      </c>
      <c r="X48" s="51" t="n">
        <v>0.02</v>
      </c>
      <c r="Y48" s="51" t="n">
        <v>0.02</v>
      </c>
      <c r="Z48" s="51" t="n">
        <v>0.02</v>
      </c>
      <c r="AA48" s="51" t="n">
        <v>0.02</v>
      </c>
    </row>
    <row r="49" ht="30" customHeight="1">
      <c r="A49" s="43" t="inlineStr">
        <is>
          <t>Financing</t>
        </is>
      </c>
      <c r="B49" s="44" t="inlineStr">
        <is>
          <t>Commitment fees</t>
        </is>
      </c>
      <c r="C49" s="45" t="inlineStr">
        <is>
          <t>J11</t>
        </is>
      </c>
      <c r="D49" s="45" t="inlineStr">
        <is>
          <t>%</t>
        </is>
      </c>
      <c r="E49" s="46" t="inlineStr">
        <is>
          <t>naruto / ERC Mid-Merit Financial Model default (ADV model reviewed 9 Oct 2026); unchanged across cases.</t>
        </is>
      </c>
      <c r="F49" s="51" t="n">
        <v>0.005</v>
      </c>
      <c r="G49" s="51" t="n">
        <v>0.005</v>
      </c>
      <c r="H49" s="51" t="n">
        <v>0.005</v>
      </c>
      <c r="I49" s="51" t="n">
        <v>0.005</v>
      </c>
      <c r="J49" s="51" t="n">
        <v>0.005</v>
      </c>
      <c r="K49" s="51" t="n">
        <v>0.005</v>
      </c>
      <c r="L49" s="51" t="n">
        <v>0.005</v>
      </c>
      <c r="M49" s="51" t="n">
        <v>0.005</v>
      </c>
      <c r="N49" s="51" t="n">
        <v>0.005</v>
      </c>
      <c r="O49" s="51" t="n">
        <v>0.005</v>
      </c>
      <c r="P49" s="51" t="n">
        <v>0.005</v>
      </c>
      <c r="Q49" s="51" t="n">
        <v>0.005</v>
      </c>
      <c r="R49" s="51" t="n">
        <v>0.005</v>
      </c>
      <c r="S49" s="51" t="n">
        <v>0.005</v>
      </c>
      <c r="T49" s="51" t="n">
        <v>0.005</v>
      </c>
      <c r="U49" s="51" t="n">
        <v>0.005</v>
      </c>
      <c r="V49" s="51" t="n">
        <v>0.005</v>
      </c>
      <c r="W49" s="51" t="n">
        <v>0.005</v>
      </c>
      <c r="X49" s="51" t="n">
        <v>0.005</v>
      </c>
      <c r="Y49" s="51" t="n">
        <v>0.005</v>
      </c>
      <c r="Z49" s="51" t="n">
        <v>0.005</v>
      </c>
      <c r="AA49" s="51" t="n">
        <v>0.005</v>
      </c>
    </row>
    <row r="50" ht="30" customHeight="1">
      <c r="A50" s="43" t="inlineStr">
        <is>
          <t>Financing</t>
        </is>
      </c>
      <c r="B50" s="44" t="inlineStr">
        <is>
          <t>Required equity return (Re)</t>
        </is>
      </c>
      <c r="C50" s="45" t="inlineStr">
        <is>
          <t>J23</t>
        </is>
      </c>
      <c r="D50" s="45" t="inlineStr">
        <is>
          <t>% p.a.</t>
        </is>
      </c>
      <c r="E50" s="46" t="inlineStr">
        <is>
          <t>14% nominal (draft Resolution 2, A.12; CAPM range 12%–14%).</t>
        </is>
      </c>
      <c r="F50" s="51" t="n">
        <v>0.14</v>
      </c>
      <c r="G50" s="51" t="n">
        <v>0.14</v>
      </c>
      <c r="H50" s="51" t="n">
        <v>0.14</v>
      </c>
      <c r="I50" s="51" t="n">
        <v>0.14</v>
      </c>
      <c r="J50" s="51" t="n">
        <v>0.14</v>
      </c>
      <c r="K50" s="51" t="n">
        <v>0.14</v>
      </c>
      <c r="L50" s="51" t="n">
        <v>0.14</v>
      </c>
      <c r="M50" s="51" t="n">
        <v>0.14</v>
      </c>
      <c r="N50" s="51" t="n">
        <v>0.14</v>
      </c>
      <c r="O50" s="51" t="n">
        <v>0.14</v>
      </c>
      <c r="P50" s="51" t="n">
        <v>0.14</v>
      </c>
      <c r="Q50" s="51" t="n">
        <v>0.14</v>
      </c>
      <c r="R50" s="51" t="n">
        <v>0.14</v>
      </c>
      <c r="S50" s="51" t="n">
        <v>0.14</v>
      </c>
      <c r="T50" s="51" t="n">
        <v>0.14</v>
      </c>
      <c r="U50" s="51" t="n">
        <v>0.14</v>
      </c>
      <c r="V50" s="51" t="n">
        <v>0.14</v>
      </c>
      <c r="W50" s="51" t="n">
        <v>0.14</v>
      </c>
      <c r="X50" s="51" t="n">
        <v>0.14</v>
      </c>
      <c r="Y50" s="51" t="n">
        <v>0.14</v>
      </c>
      <c r="Z50" s="51" t="n">
        <v>0.14</v>
      </c>
      <c r="AA50" s="51" t="n">
        <v>0.14</v>
      </c>
    </row>
    <row r="51" ht="30" customHeight="1">
      <c r="A51" s="43" t="inlineStr">
        <is>
          <t>Financing</t>
        </is>
      </c>
      <c r="B51" s="44" t="inlineStr">
        <is>
          <t>Pre-tax WACC (check)</t>
        </is>
      </c>
      <c r="C51" s="45" t="inlineStr">
        <is>
          <t>J29</t>
        </is>
      </c>
      <c r="D51" s="45" t="inlineStr">
        <is>
          <t>%</t>
        </is>
      </c>
      <c r="E51" s="46" t="inlineStr">
        <is>
          <t>Model result (reference check, GAIR 8.8.8).</t>
        </is>
      </c>
      <c r="F51" s="58" t="n">
        <v>0.112</v>
      </c>
      <c r="G51" s="58" t="n">
        <v>0.112</v>
      </c>
      <c r="H51" s="58" t="n">
        <v>0.112</v>
      </c>
      <c r="I51" s="58" t="n">
        <v>0.112</v>
      </c>
      <c r="J51" s="58" t="n">
        <v>0.112</v>
      </c>
      <c r="K51" s="58" t="n">
        <v>0.112</v>
      </c>
      <c r="L51" s="58" t="n">
        <v>0.112</v>
      </c>
      <c r="M51" s="58" t="n">
        <v>0.112</v>
      </c>
      <c r="N51" s="58" t="n">
        <v>0.112</v>
      </c>
      <c r="O51" s="58" t="n">
        <v>0.112</v>
      </c>
      <c r="P51" s="58" t="n">
        <v>0.112</v>
      </c>
      <c r="Q51" s="58" t="n">
        <v>0.112</v>
      </c>
      <c r="R51" s="58" t="n">
        <v>0.112</v>
      </c>
      <c r="S51" s="58" t="n">
        <v>0.112</v>
      </c>
      <c r="T51" s="58" t="n">
        <v>0.112</v>
      </c>
      <c r="U51" s="58" t="n">
        <v>0.112</v>
      </c>
      <c r="V51" s="58" t="n">
        <v>0.112</v>
      </c>
      <c r="W51" s="58" t="n">
        <v>0.112</v>
      </c>
      <c r="X51" s="58" t="n">
        <v>0.112</v>
      </c>
      <c r="Y51" s="58" t="n">
        <v>0.112</v>
      </c>
      <c r="Z51" s="58" t="n">
        <v>0.112</v>
      </c>
      <c r="AA51" s="58" t="n">
        <v>0.112</v>
      </c>
    </row>
    <row r="52">
      <c r="A52" s="41" t="inlineStr">
        <is>
          <t>6. Taxes and other</t>
        </is>
      </c>
      <c r="B52" s="42" t="n"/>
      <c r="C52" s="42" t="n"/>
      <c r="D52" s="42" t="n"/>
      <c r="E52" s="42" t="n"/>
      <c r="F52" s="42" t="n"/>
      <c r="G52" s="42" t="n"/>
      <c r="H52" s="42" t="n"/>
      <c r="I52" s="42" t="n"/>
      <c r="J52" s="42" t="n"/>
      <c r="K52" s="42" t="n"/>
      <c r="L52" s="42" t="n"/>
      <c r="M52" s="42" t="n"/>
      <c r="N52" s="42" t="n"/>
      <c r="O52" s="42" t="n"/>
      <c r="P52" s="42" t="n"/>
      <c r="Q52" s="42" t="n"/>
      <c r="R52" s="42" t="n"/>
      <c r="S52" s="42" t="n"/>
      <c r="T52" s="42" t="n"/>
      <c r="U52" s="42" t="n"/>
      <c r="V52" s="42" t="n"/>
      <c r="W52" s="42" t="n"/>
      <c r="X52" s="42" t="n"/>
      <c r="Y52" s="42" t="n"/>
      <c r="Z52" s="42" t="n"/>
      <c r="AA52" s="42" t="n"/>
    </row>
    <row r="53" ht="30" customHeight="1">
      <c r="A53" s="43" t="inlineStr">
        <is>
          <t>Taxes and other</t>
        </is>
      </c>
      <c r="B53" s="44" t="inlineStr">
        <is>
          <t>VAT on importation of equipment</t>
        </is>
      </c>
      <c r="C53" s="45" t="inlineStr">
        <is>
          <t>Sens. C3</t>
        </is>
      </c>
      <c r="D53" s="45" t="inlineStr">
        <is>
          <t>%</t>
        </is>
      </c>
      <c r="E53" s="46" t="inlineStr">
        <is>
          <t>12% VAT (NIRC Sec. 107).</t>
        </is>
      </c>
      <c r="F53" s="51" t="n">
        <v>0.12</v>
      </c>
      <c r="G53" s="51" t="n">
        <v>0.12</v>
      </c>
      <c r="H53" s="51" t="n">
        <v>0.12</v>
      </c>
      <c r="I53" s="51" t="n">
        <v>0.12</v>
      </c>
      <c r="J53" s="51" t="n">
        <v>0.12</v>
      </c>
      <c r="K53" s="51" t="n">
        <v>0.12</v>
      </c>
      <c r="L53" s="51" t="n">
        <v>0.12</v>
      </c>
      <c r="M53" s="51" t="n">
        <v>0.12</v>
      </c>
      <c r="N53" s="51" t="n">
        <v>0.12</v>
      </c>
      <c r="O53" s="51" t="n">
        <v>0.12</v>
      </c>
      <c r="P53" s="51" t="n">
        <v>0.12</v>
      </c>
      <c r="Q53" s="51" t="n">
        <v>0.12</v>
      </c>
      <c r="R53" s="51" t="n">
        <v>0.12</v>
      </c>
      <c r="S53" s="51" t="n">
        <v>0.12</v>
      </c>
      <c r="T53" s="51" t="n">
        <v>0.12</v>
      </c>
      <c r="U53" s="51" t="n">
        <v>0.12</v>
      </c>
      <c r="V53" s="51" t="n">
        <v>0.12</v>
      </c>
      <c r="W53" s="51" t="n">
        <v>0.12</v>
      </c>
      <c r="X53" s="51" t="n">
        <v>0.12</v>
      </c>
      <c r="Y53" s="51" t="n">
        <v>0.12</v>
      </c>
      <c r="Z53" s="51" t="n">
        <v>0.12</v>
      </c>
      <c r="AA53" s="51" t="n">
        <v>0.12</v>
      </c>
    </row>
    <row r="54" ht="30" customHeight="1">
      <c r="A54" s="43" t="inlineStr">
        <is>
          <t>Taxes and other</t>
        </is>
      </c>
      <c r="B54" s="44" t="inlineStr">
        <is>
          <t>Customs duty</t>
        </is>
      </c>
      <c r="C54" s="45" t="inlineStr">
        <is>
          <t>Sens. C4</t>
        </is>
      </c>
      <c r="D54" s="45" t="inlineStr">
        <is>
          <t>%</t>
        </is>
      </c>
      <c r="E54" s="46" t="inlineStr">
        <is>
          <t>naruto / ERC Mid-Merit Financial Model default (ADV model reviewed 9 Oct 2026); unchanged across cases.</t>
        </is>
      </c>
      <c r="F54" s="51" t="n">
        <v>0.03</v>
      </c>
      <c r="G54" s="51" t="n">
        <v>0.03</v>
      </c>
      <c r="H54" s="51" t="n">
        <v>0.03</v>
      </c>
      <c r="I54" s="51" t="n">
        <v>0.03</v>
      </c>
      <c r="J54" s="51" t="n">
        <v>0.03</v>
      </c>
      <c r="K54" s="51" t="n">
        <v>0.03</v>
      </c>
      <c r="L54" s="51" t="n">
        <v>0.03</v>
      </c>
      <c r="M54" s="51" t="n">
        <v>0.03</v>
      </c>
      <c r="N54" s="51" t="n">
        <v>0.03</v>
      </c>
      <c r="O54" s="51" t="n">
        <v>0.03</v>
      </c>
      <c r="P54" s="51" t="n">
        <v>0.03</v>
      </c>
      <c r="Q54" s="51" t="n">
        <v>0.03</v>
      </c>
      <c r="R54" s="51" t="n">
        <v>0.03</v>
      </c>
      <c r="S54" s="51" t="n">
        <v>0.03</v>
      </c>
      <c r="T54" s="51" t="n">
        <v>0.03</v>
      </c>
      <c r="U54" s="51" t="n">
        <v>0.03</v>
      </c>
      <c r="V54" s="51" t="n">
        <v>0.03</v>
      </c>
      <c r="W54" s="51" t="n">
        <v>0.03</v>
      </c>
      <c r="X54" s="51" t="n">
        <v>0.03</v>
      </c>
      <c r="Y54" s="51" t="n">
        <v>0.03</v>
      </c>
      <c r="Z54" s="51" t="n">
        <v>0.03</v>
      </c>
      <c r="AA54" s="51" t="n">
        <v>0.03</v>
      </c>
    </row>
    <row r="55" ht="30" customHeight="1">
      <c r="A55" s="43" t="inlineStr">
        <is>
          <t>Taxes and other</t>
        </is>
      </c>
      <c r="B55" s="44" t="inlineStr">
        <is>
          <t>VAT recovery</t>
        </is>
      </c>
      <c r="C55" s="45" t="inlineStr">
        <is>
          <t>Sens. C5</t>
        </is>
      </c>
      <c r="D55" s="45" t="inlineStr">
        <is>
          <t>%</t>
        </is>
      </c>
      <c r="E55" s="46" t="inlineStr">
        <is>
          <t>naruto / ERC Mid-Merit Financial Model default (ADV model reviewed 9 Oct 2026); unchanged across cases.</t>
        </is>
      </c>
      <c r="F55" s="48" t="n">
        <v>0</v>
      </c>
      <c r="G55" s="48" t="n">
        <v>0</v>
      </c>
      <c r="H55" s="48" t="n">
        <v>0</v>
      </c>
      <c r="I55" s="48" t="n">
        <v>0</v>
      </c>
      <c r="J55" s="48" t="n">
        <v>0</v>
      </c>
      <c r="K55" s="48" t="n">
        <v>0</v>
      </c>
      <c r="L55" s="48" t="n">
        <v>0</v>
      </c>
      <c r="M55" s="48" t="n">
        <v>0</v>
      </c>
      <c r="N55" s="48" t="n">
        <v>0</v>
      </c>
      <c r="O55" s="48" t="n">
        <v>0</v>
      </c>
      <c r="P55" s="48" t="n">
        <v>0</v>
      </c>
      <c r="Q55" s="48" t="n">
        <v>0</v>
      </c>
      <c r="R55" s="48" t="n">
        <v>0</v>
      </c>
      <c r="S55" s="48" t="n">
        <v>0</v>
      </c>
      <c r="T55" s="48" t="n">
        <v>0</v>
      </c>
      <c r="U55" s="48" t="n">
        <v>0</v>
      </c>
      <c r="V55" s="48" t="n">
        <v>0</v>
      </c>
      <c r="W55" s="48" t="n">
        <v>0</v>
      </c>
      <c r="X55" s="48" t="n">
        <v>0</v>
      </c>
      <c r="Y55" s="48" t="n">
        <v>0</v>
      </c>
      <c r="Z55" s="48" t="n">
        <v>0</v>
      </c>
      <c r="AA55" s="48" t="n">
        <v>0</v>
      </c>
    </row>
    <row r="56" ht="30" customHeight="1">
      <c r="A56" s="43" t="inlineStr">
        <is>
          <t>Taxes and other</t>
        </is>
      </c>
      <c r="B56" s="44" t="inlineStr">
        <is>
          <t>Timing of VAT recovery</t>
        </is>
      </c>
      <c r="C56" s="45" t="inlineStr">
        <is>
          <t>Sens. C6</t>
        </is>
      </c>
      <c r="D56" s="45" t="inlineStr">
        <is>
          <t>yrs</t>
        </is>
      </c>
      <c r="E56" s="46" t="inlineStr">
        <is>
          <t>naruto / ERC Mid-Merit Financial Model default (ADV model reviewed 9 Oct 2026); unchanged across cases.</t>
        </is>
      </c>
      <c r="F56" s="48" t="n">
        <v>0</v>
      </c>
      <c r="G56" s="48" t="n">
        <v>0</v>
      </c>
      <c r="H56" s="48" t="n">
        <v>0</v>
      </c>
      <c r="I56" s="48" t="n">
        <v>0</v>
      </c>
      <c r="J56" s="48" t="n">
        <v>0</v>
      </c>
      <c r="K56" s="48" t="n">
        <v>0</v>
      </c>
      <c r="L56" s="48" t="n">
        <v>0</v>
      </c>
      <c r="M56" s="48" t="n">
        <v>0</v>
      </c>
      <c r="N56" s="48" t="n">
        <v>0</v>
      </c>
      <c r="O56" s="48" t="n">
        <v>0</v>
      </c>
      <c r="P56" s="48" t="n">
        <v>0</v>
      </c>
      <c r="Q56" s="48" t="n">
        <v>0</v>
      </c>
      <c r="R56" s="48" t="n">
        <v>0</v>
      </c>
      <c r="S56" s="48" t="n">
        <v>0</v>
      </c>
      <c r="T56" s="48" t="n">
        <v>0</v>
      </c>
      <c r="U56" s="48" t="n">
        <v>0</v>
      </c>
      <c r="V56" s="48" t="n">
        <v>0</v>
      </c>
      <c r="W56" s="48" t="n">
        <v>0</v>
      </c>
      <c r="X56" s="48" t="n">
        <v>0</v>
      </c>
      <c r="Y56" s="48" t="n">
        <v>0</v>
      </c>
      <c r="Z56" s="48" t="n">
        <v>0</v>
      </c>
      <c r="AA56" s="48" t="n">
        <v>0</v>
      </c>
    </row>
    <row r="57" ht="30" customHeight="1">
      <c r="A57" s="43" t="inlineStr">
        <is>
          <t>Taxes and other</t>
        </is>
      </c>
      <c r="B57" s="44" t="inlineStr">
        <is>
          <t>Income tax holiday</t>
        </is>
      </c>
      <c r="C57" s="45" t="inlineStr">
        <is>
          <t>Sens. C7</t>
        </is>
      </c>
      <c r="D57" s="45" t="inlineStr">
        <is>
          <t>yrs</t>
        </is>
      </c>
      <c r="E57" s="46" t="inlineStr">
        <is>
          <t>naruto / ERC Mid-Merit Financial Model default (ADV model reviewed 9 Oct 2026); unchanged across cases.</t>
        </is>
      </c>
      <c r="F57" s="48" t="n">
        <v>0</v>
      </c>
      <c r="G57" s="48" t="n">
        <v>0</v>
      </c>
      <c r="H57" s="48" t="n">
        <v>0</v>
      </c>
      <c r="I57" s="48" t="n">
        <v>0</v>
      </c>
      <c r="J57" s="48" t="n">
        <v>0</v>
      </c>
      <c r="K57" s="48" t="n">
        <v>0</v>
      </c>
      <c r="L57" s="48" t="n">
        <v>0</v>
      </c>
      <c r="M57" s="48" t="n">
        <v>0</v>
      </c>
      <c r="N57" s="48" t="n">
        <v>0</v>
      </c>
      <c r="O57" s="48" t="n">
        <v>0</v>
      </c>
      <c r="P57" s="48" t="n">
        <v>0</v>
      </c>
      <c r="Q57" s="48" t="n">
        <v>0</v>
      </c>
      <c r="R57" s="48" t="n">
        <v>0</v>
      </c>
      <c r="S57" s="48" t="n">
        <v>0</v>
      </c>
      <c r="T57" s="48" t="n">
        <v>0</v>
      </c>
      <c r="U57" s="48" t="n">
        <v>0</v>
      </c>
      <c r="V57" s="48" t="n">
        <v>0</v>
      </c>
      <c r="W57" s="48" t="n">
        <v>0</v>
      </c>
      <c r="X57" s="48" t="n">
        <v>0</v>
      </c>
      <c r="Y57" s="48" t="n">
        <v>0</v>
      </c>
      <c r="Z57" s="48" t="n">
        <v>0</v>
      </c>
      <c r="AA57" s="48" t="n">
        <v>0</v>
      </c>
    </row>
    <row r="58" ht="30" customHeight="1">
      <c r="A58" s="43" t="inlineStr">
        <is>
          <t>Taxes and other</t>
        </is>
      </c>
      <c r="B58" s="44" t="inlineStr">
        <is>
          <t>Income tax rate (after ITH)</t>
        </is>
      </c>
      <c r="C58" s="45" t="inlineStr">
        <is>
          <t>Sens. C8</t>
        </is>
      </c>
      <c r="D58" s="45" t="inlineStr">
        <is>
          <t>%</t>
        </is>
      </c>
      <c r="E58" s="46" t="inlineStr">
        <is>
          <t>25% regular corporate income tax, CREATE Act (RA 11534). No BOI/PEZA incentive assumed (F51 = 1).</t>
        </is>
      </c>
      <c r="F58" s="51" t="n">
        <v>0.25</v>
      </c>
      <c r="G58" s="51" t="n">
        <v>0.25</v>
      </c>
      <c r="H58" s="51" t="n">
        <v>0.25</v>
      </c>
      <c r="I58" s="51" t="n">
        <v>0.25</v>
      </c>
      <c r="J58" s="51" t="n">
        <v>0.25</v>
      </c>
      <c r="K58" s="51" t="n">
        <v>0.25</v>
      </c>
      <c r="L58" s="51" t="n">
        <v>0.25</v>
      </c>
      <c r="M58" s="51" t="n">
        <v>0.25</v>
      </c>
      <c r="N58" s="51" t="n">
        <v>0.25</v>
      </c>
      <c r="O58" s="51" t="n">
        <v>0.25</v>
      </c>
      <c r="P58" s="51" t="n">
        <v>0.25</v>
      </c>
      <c r="Q58" s="51" t="n">
        <v>0.25</v>
      </c>
      <c r="R58" s="51" t="n">
        <v>0.25</v>
      </c>
      <c r="S58" s="51" t="n">
        <v>0.25</v>
      </c>
      <c r="T58" s="51" t="n">
        <v>0.25</v>
      </c>
      <c r="U58" s="51" t="n">
        <v>0.25</v>
      </c>
      <c r="V58" s="51" t="n">
        <v>0.25</v>
      </c>
      <c r="W58" s="51" t="n">
        <v>0.25</v>
      </c>
      <c r="X58" s="51" t="n">
        <v>0.25</v>
      </c>
      <c r="Y58" s="51" t="n">
        <v>0.25</v>
      </c>
      <c r="Z58" s="51" t="n">
        <v>0.25</v>
      </c>
      <c r="AA58" s="51" t="n">
        <v>0.25</v>
      </c>
    </row>
    <row r="59" ht="30" customHeight="1">
      <c r="A59" s="43" t="inlineStr">
        <is>
          <t>Taxes and other</t>
        </is>
      </c>
      <c r="B59" s="44" t="inlineStr">
        <is>
          <t>Real property tax</t>
        </is>
      </c>
      <c r="C59" s="45" t="inlineStr">
        <is>
          <t>Sens. C9</t>
        </is>
      </c>
      <c r="D59" s="45" t="inlineStr">
        <is>
          <t>%</t>
        </is>
      </c>
      <c r="E59" s="46" t="inlineStr">
        <is>
          <t>2% RPT (Local Government Code).</t>
        </is>
      </c>
      <c r="F59" s="51" t="n">
        <v>0.02</v>
      </c>
      <c r="G59" s="51" t="n">
        <v>0.02</v>
      </c>
      <c r="H59" s="51" t="n">
        <v>0.02</v>
      </c>
      <c r="I59" s="51" t="n">
        <v>0.02</v>
      </c>
      <c r="J59" s="51" t="n">
        <v>0.02</v>
      </c>
      <c r="K59" s="51" t="n">
        <v>0.02</v>
      </c>
      <c r="L59" s="51" t="n">
        <v>0.02</v>
      </c>
      <c r="M59" s="51" t="n">
        <v>0.02</v>
      </c>
      <c r="N59" s="51" t="n">
        <v>0.02</v>
      </c>
      <c r="O59" s="51" t="n">
        <v>0.02</v>
      </c>
      <c r="P59" s="51" t="n">
        <v>0.02</v>
      </c>
      <c r="Q59" s="51" t="n">
        <v>0.02</v>
      </c>
      <c r="R59" s="51" t="n">
        <v>0.02</v>
      </c>
      <c r="S59" s="51" t="n">
        <v>0.02</v>
      </c>
      <c r="T59" s="51" t="n">
        <v>0.02</v>
      </c>
      <c r="U59" s="51" t="n">
        <v>0.02</v>
      </c>
      <c r="V59" s="51" t="n">
        <v>0.02</v>
      </c>
      <c r="W59" s="51" t="n">
        <v>0.02</v>
      </c>
      <c r="X59" s="51" t="n">
        <v>0.02</v>
      </c>
      <c r="Y59" s="51" t="n">
        <v>0.02</v>
      </c>
      <c r="Z59" s="51" t="n">
        <v>0.02</v>
      </c>
      <c r="AA59" s="51" t="n">
        <v>0.02</v>
      </c>
    </row>
    <row r="60" ht="30" customHeight="1">
      <c r="A60" s="43" t="inlineStr">
        <is>
          <t>Taxes and other</t>
        </is>
      </c>
      <c r="B60" s="44" t="inlineStr">
        <is>
          <t>RPT assessment level (of NBV)</t>
        </is>
      </c>
      <c r="C60" s="45" t="inlineStr">
        <is>
          <t>Sens. C10</t>
        </is>
      </c>
      <c r="D60" s="45" t="inlineStr">
        <is>
          <t>%</t>
        </is>
      </c>
      <c r="E60" s="46" t="inlineStr">
        <is>
          <t>naruto / ERC Mid-Merit Financial Model default (ADV model reviewed 9 Oct 2026); unchanged across cases.</t>
        </is>
      </c>
      <c r="F60" s="51" t="n">
        <v>0.8</v>
      </c>
      <c r="G60" s="51" t="n">
        <v>0.8</v>
      </c>
      <c r="H60" s="51" t="n">
        <v>0.8</v>
      </c>
      <c r="I60" s="51" t="n">
        <v>0.8</v>
      </c>
      <c r="J60" s="51" t="n">
        <v>0.8</v>
      </c>
      <c r="K60" s="51" t="n">
        <v>0.8</v>
      </c>
      <c r="L60" s="51" t="n">
        <v>0.8</v>
      </c>
      <c r="M60" s="51" t="n">
        <v>0.8</v>
      </c>
      <c r="N60" s="51" t="n">
        <v>0.8</v>
      </c>
      <c r="O60" s="51" t="n">
        <v>0.8</v>
      </c>
      <c r="P60" s="51" t="n">
        <v>0.8</v>
      </c>
      <c r="Q60" s="51" t="n">
        <v>0.8</v>
      </c>
      <c r="R60" s="51" t="n">
        <v>0.8</v>
      </c>
      <c r="S60" s="51" t="n">
        <v>0.8</v>
      </c>
      <c r="T60" s="51" t="n">
        <v>0.8</v>
      </c>
      <c r="U60" s="51" t="n">
        <v>0.8</v>
      </c>
      <c r="V60" s="51" t="n">
        <v>0.8</v>
      </c>
      <c r="W60" s="51" t="n">
        <v>0.8</v>
      </c>
      <c r="X60" s="51" t="n">
        <v>0.8</v>
      </c>
      <c r="Y60" s="51" t="n">
        <v>0.8</v>
      </c>
      <c r="Z60" s="51" t="n">
        <v>0.8</v>
      </c>
      <c r="AA60" s="51" t="n">
        <v>0.8</v>
      </c>
    </row>
    <row r="61" ht="30" customHeight="1">
      <c r="A61" s="43" t="inlineStr">
        <is>
          <t>Taxes and other</t>
        </is>
      </c>
      <c r="B61" s="44" t="inlineStr">
        <is>
          <t>Local business tax</t>
        </is>
      </c>
      <c r="C61" s="45" t="inlineStr">
        <is>
          <t>Sens. C11</t>
        </is>
      </c>
      <c r="D61" s="45" t="inlineStr">
        <is>
          <t>%</t>
        </is>
      </c>
      <c r="E61" s="46" t="inlineStr">
        <is>
          <t>1% local business tax (LGC).</t>
        </is>
      </c>
      <c r="F61" s="51" t="n">
        <v>0.01</v>
      </c>
      <c r="G61" s="51" t="n">
        <v>0.01</v>
      </c>
      <c r="H61" s="51" t="n">
        <v>0.01</v>
      </c>
      <c r="I61" s="51" t="n">
        <v>0.01</v>
      </c>
      <c r="J61" s="51" t="n">
        <v>0.01</v>
      </c>
      <c r="K61" s="51" t="n">
        <v>0.01</v>
      </c>
      <c r="L61" s="51" t="n">
        <v>0.01</v>
      </c>
      <c r="M61" s="51" t="n">
        <v>0.01</v>
      </c>
      <c r="N61" s="51" t="n">
        <v>0.01</v>
      </c>
      <c r="O61" s="51" t="n">
        <v>0.01</v>
      </c>
      <c r="P61" s="51" t="n">
        <v>0.01</v>
      </c>
      <c r="Q61" s="51" t="n">
        <v>0.01</v>
      </c>
      <c r="R61" s="51" t="n">
        <v>0.01</v>
      </c>
      <c r="S61" s="51" t="n">
        <v>0.01</v>
      </c>
      <c r="T61" s="51" t="n">
        <v>0.01</v>
      </c>
      <c r="U61" s="51" t="n">
        <v>0.01</v>
      </c>
      <c r="V61" s="51" t="n">
        <v>0.01</v>
      </c>
      <c r="W61" s="51" t="n">
        <v>0.01</v>
      </c>
      <c r="X61" s="51" t="n">
        <v>0.01</v>
      </c>
      <c r="Y61" s="51" t="n">
        <v>0.01</v>
      </c>
      <c r="Z61" s="51" t="n">
        <v>0.01</v>
      </c>
      <c r="AA61" s="51" t="n">
        <v>0.01</v>
      </c>
    </row>
    <row r="62" ht="30" customHeight="1">
      <c r="A62" s="43" t="inlineStr">
        <is>
          <t>Taxes and other</t>
        </is>
      </c>
      <c r="B62" s="44" t="inlineStr">
        <is>
          <t>Government share</t>
        </is>
      </c>
      <c r="C62" s="45" t="inlineStr">
        <is>
          <t>Sens. C12</t>
        </is>
      </c>
      <c r="D62" s="45" t="inlineStr">
        <is>
          <t>%</t>
        </is>
      </c>
      <c r="E62" s="46" t="inlineStr">
        <is>
          <t>Not applicable to gas (GAIR 8.8.3).</t>
        </is>
      </c>
      <c r="F62" s="48" t="n">
        <v>0</v>
      </c>
      <c r="G62" s="48" t="n">
        <v>0</v>
      </c>
      <c r="H62" s="48" t="n">
        <v>0</v>
      </c>
      <c r="I62" s="48" t="n">
        <v>0</v>
      </c>
      <c r="J62" s="48" t="n">
        <v>0</v>
      </c>
      <c r="K62" s="48" t="n">
        <v>0</v>
      </c>
      <c r="L62" s="48" t="n">
        <v>0</v>
      </c>
      <c r="M62" s="48" t="n">
        <v>0</v>
      </c>
      <c r="N62" s="48" t="n">
        <v>0</v>
      </c>
      <c r="O62" s="48" t="n">
        <v>0</v>
      </c>
      <c r="P62" s="48" t="n">
        <v>0</v>
      </c>
      <c r="Q62" s="48" t="n">
        <v>0</v>
      </c>
      <c r="R62" s="48" t="n">
        <v>0</v>
      </c>
      <c r="S62" s="48" t="n">
        <v>0</v>
      </c>
      <c r="T62" s="48" t="n">
        <v>0</v>
      </c>
      <c r="U62" s="48" t="n">
        <v>0</v>
      </c>
      <c r="V62" s="48" t="n">
        <v>0</v>
      </c>
      <c r="W62" s="48" t="n">
        <v>0</v>
      </c>
      <c r="X62" s="48" t="n">
        <v>0</v>
      </c>
      <c r="Y62" s="48" t="n">
        <v>0</v>
      </c>
      <c r="Z62" s="48" t="n">
        <v>0</v>
      </c>
      <c r="AA62" s="48" t="n">
        <v>0</v>
      </c>
    </row>
    <row r="63" ht="30" customHeight="1">
      <c r="A63" s="43" t="inlineStr">
        <is>
          <t>Taxes and other</t>
        </is>
      </c>
      <c r="B63" s="44" t="inlineStr">
        <is>
          <t>Withholding tax on foreign interest</t>
        </is>
      </c>
      <c r="C63" s="45" t="inlineStr">
        <is>
          <t>Sens. C14</t>
        </is>
      </c>
      <c r="D63" s="45" t="inlineStr">
        <is>
          <t>%</t>
        </is>
      </c>
      <c r="E63" s="46" t="inlineStr">
        <is>
          <t>10% final WHT on foreign interest (NIRC).</t>
        </is>
      </c>
      <c r="F63" s="51" t="n">
        <v>0.1</v>
      </c>
      <c r="G63" s="51" t="n">
        <v>0.1</v>
      </c>
      <c r="H63" s="51" t="n">
        <v>0.1</v>
      </c>
      <c r="I63" s="51" t="n">
        <v>0.1</v>
      </c>
      <c r="J63" s="51" t="n">
        <v>0.1</v>
      </c>
      <c r="K63" s="51" t="n">
        <v>0.1</v>
      </c>
      <c r="L63" s="51" t="n">
        <v>0.1</v>
      </c>
      <c r="M63" s="51" t="n">
        <v>0.1</v>
      </c>
      <c r="N63" s="51" t="n">
        <v>0.1</v>
      </c>
      <c r="O63" s="51" t="n">
        <v>0.1</v>
      </c>
      <c r="P63" s="51" t="n">
        <v>0.1</v>
      </c>
      <c r="Q63" s="51" t="n">
        <v>0.1</v>
      </c>
      <c r="R63" s="51" t="n">
        <v>0.1</v>
      </c>
      <c r="S63" s="51" t="n">
        <v>0.1</v>
      </c>
      <c r="T63" s="51" t="n">
        <v>0.1</v>
      </c>
      <c r="U63" s="51" t="n">
        <v>0.1</v>
      </c>
      <c r="V63" s="51" t="n">
        <v>0.1</v>
      </c>
      <c r="W63" s="51" t="n">
        <v>0.1</v>
      </c>
      <c r="X63" s="51" t="n">
        <v>0.1</v>
      </c>
      <c r="Y63" s="51" t="n">
        <v>0.1</v>
      </c>
      <c r="Z63" s="51" t="n">
        <v>0.1</v>
      </c>
      <c r="AA63" s="51" t="n">
        <v>0.1</v>
      </c>
    </row>
    <row r="64" ht="30" customHeight="1">
      <c r="A64" s="43" t="inlineStr">
        <is>
          <t>Taxes and other</t>
        </is>
      </c>
      <c r="B64" s="44" t="inlineStr">
        <is>
          <t>Gross receipts tax on local interest</t>
        </is>
      </c>
      <c r="C64" s="45" t="inlineStr">
        <is>
          <t>Sens. C15</t>
        </is>
      </c>
      <c r="D64" s="45" t="inlineStr">
        <is>
          <t>%</t>
        </is>
      </c>
      <c r="E64" s="46" t="inlineStr">
        <is>
          <t>naruto / ERC Mid-Merit Financial Model default (ADV model reviewed 9 Oct 2026); unchanged across cases.</t>
        </is>
      </c>
      <c r="F64" s="51" t="n">
        <v>0.01</v>
      </c>
      <c r="G64" s="51" t="n">
        <v>0.01</v>
      </c>
      <c r="H64" s="51" t="n">
        <v>0.01</v>
      </c>
      <c r="I64" s="51" t="n">
        <v>0.01</v>
      </c>
      <c r="J64" s="51" t="n">
        <v>0.01</v>
      </c>
      <c r="K64" s="51" t="n">
        <v>0.01</v>
      </c>
      <c r="L64" s="51" t="n">
        <v>0.01</v>
      </c>
      <c r="M64" s="51" t="n">
        <v>0.01</v>
      </c>
      <c r="N64" s="51" t="n">
        <v>0.01</v>
      </c>
      <c r="O64" s="51" t="n">
        <v>0.01</v>
      </c>
      <c r="P64" s="51" t="n">
        <v>0.01</v>
      </c>
      <c r="Q64" s="51" t="n">
        <v>0.01</v>
      </c>
      <c r="R64" s="51" t="n">
        <v>0.01</v>
      </c>
      <c r="S64" s="51" t="n">
        <v>0.01</v>
      </c>
      <c r="T64" s="51" t="n">
        <v>0.01</v>
      </c>
      <c r="U64" s="51" t="n">
        <v>0.01</v>
      </c>
      <c r="V64" s="51" t="n">
        <v>0.01</v>
      </c>
      <c r="W64" s="51" t="n">
        <v>0.01</v>
      </c>
      <c r="X64" s="51" t="n">
        <v>0.01</v>
      </c>
      <c r="Y64" s="51" t="n">
        <v>0.01</v>
      </c>
      <c r="Z64" s="51" t="n">
        <v>0.01</v>
      </c>
      <c r="AA64" s="51" t="n">
        <v>0.01</v>
      </c>
    </row>
    <row r="65" ht="30" customHeight="1">
      <c r="A65" s="43" t="inlineStr">
        <is>
          <t>Taxes and other</t>
        </is>
      </c>
      <c r="B65" s="44" t="inlineStr">
        <is>
          <t>Documentary stamp tax</t>
        </is>
      </c>
      <c r="C65" s="45" t="inlineStr">
        <is>
          <t>Sens. C16</t>
        </is>
      </c>
      <c r="D65" s="45" t="inlineStr">
        <is>
          <t>%</t>
        </is>
      </c>
      <c r="E65" s="46" t="inlineStr">
        <is>
          <t>naruto / ERC Mid-Merit Financial Model default (ADV model reviewed 9 Oct 2026); unchanged across cases.</t>
        </is>
      </c>
      <c r="F65" s="51" t="n">
        <v>0.005</v>
      </c>
      <c r="G65" s="51" t="n">
        <v>0.005</v>
      </c>
      <c r="H65" s="51" t="n">
        <v>0.005</v>
      </c>
      <c r="I65" s="51" t="n">
        <v>0.005</v>
      </c>
      <c r="J65" s="51" t="n">
        <v>0.005</v>
      </c>
      <c r="K65" s="51" t="n">
        <v>0.005</v>
      </c>
      <c r="L65" s="51" t="n">
        <v>0.005</v>
      </c>
      <c r="M65" s="51" t="n">
        <v>0.005</v>
      </c>
      <c r="N65" s="51" t="n">
        <v>0.005</v>
      </c>
      <c r="O65" s="51" t="n">
        <v>0.005</v>
      </c>
      <c r="P65" s="51" t="n">
        <v>0.005</v>
      </c>
      <c r="Q65" s="51" t="n">
        <v>0.005</v>
      </c>
      <c r="R65" s="51" t="n">
        <v>0.005</v>
      </c>
      <c r="S65" s="51" t="n">
        <v>0.005</v>
      </c>
      <c r="T65" s="51" t="n">
        <v>0.005</v>
      </c>
      <c r="U65" s="51" t="n">
        <v>0.005</v>
      </c>
      <c r="V65" s="51" t="n">
        <v>0.005</v>
      </c>
      <c r="W65" s="51" t="n">
        <v>0.005</v>
      </c>
      <c r="X65" s="51" t="n">
        <v>0.005</v>
      </c>
      <c r="Y65" s="51" t="n">
        <v>0.005</v>
      </c>
      <c r="Z65" s="51" t="n">
        <v>0.005</v>
      </c>
      <c r="AA65" s="51" t="n">
        <v>0.005</v>
      </c>
    </row>
    <row r="66" ht="30" customHeight="1">
      <c r="A66" s="43" t="inlineStr">
        <is>
          <t>Taxes and other</t>
        </is>
      </c>
      <c r="B66" s="44" t="inlineStr">
        <is>
          <t>PEZA incentive (% of gross income)</t>
        </is>
      </c>
      <c r="C66" s="45" t="inlineStr">
        <is>
          <t>Sens. C17</t>
        </is>
      </c>
      <c r="D66" s="45" t="inlineStr">
        <is>
          <t>%</t>
        </is>
      </c>
      <c r="E66" s="46" t="inlineStr">
        <is>
          <t>naruto / ERC Mid-Merit Financial Model default (ADV model reviewed 9 Oct 2026); unchanged across cases.</t>
        </is>
      </c>
      <c r="F66" s="48" t="n">
        <v>0</v>
      </c>
      <c r="G66" s="48" t="n">
        <v>0</v>
      </c>
      <c r="H66" s="48" t="n">
        <v>0</v>
      </c>
      <c r="I66" s="48" t="n">
        <v>0</v>
      </c>
      <c r="J66" s="48" t="n">
        <v>0</v>
      </c>
      <c r="K66" s="48" t="n">
        <v>0</v>
      </c>
      <c r="L66" s="48" t="n">
        <v>0</v>
      </c>
      <c r="M66" s="48" t="n">
        <v>0</v>
      </c>
      <c r="N66" s="48" t="n">
        <v>0</v>
      </c>
      <c r="O66" s="48" t="n">
        <v>0</v>
      </c>
      <c r="P66" s="48" t="n">
        <v>0</v>
      </c>
      <c r="Q66" s="48" t="n">
        <v>0</v>
      </c>
      <c r="R66" s="48" t="n">
        <v>0</v>
      </c>
      <c r="S66" s="48" t="n">
        <v>0</v>
      </c>
      <c r="T66" s="48" t="n">
        <v>0</v>
      </c>
      <c r="U66" s="48" t="n">
        <v>0</v>
      </c>
      <c r="V66" s="48" t="n">
        <v>0</v>
      </c>
      <c r="W66" s="48" t="n">
        <v>0</v>
      </c>
      <c r="X66" s="48" t="n">
        <v>0</v>
      </c>
      <c r="Y66" s="48" t="n">
        <v>0</v>
      </c>
      <c r="Z66" s="48" t="n">
        <v>0</v>
      </c>
      <c r="AA66" s="48" t="n">
        <v>0</v>
      </c>
    </row>
    <row r="67" ht="30" customHeight="1">
      <c r="A67" s="43" t="inlineStr">
        <is>
          <t>Taxes and other</t>
        </is>
      </c>
      <c r="B67" s="44" t="inlineStr">
        <is>
          <t>PhP per US$</t>
        </is>
      </c>
      <c r="C67" s="45" t="inlineStr">
        <is>
          <t>C89</t>
        </is>
      </c>
      <c r="D67" s="45" t="inlineStr">
        <is>
          <t>PhP/US$</t>
        </is>
      </c>
      <c r="E67" s="46" t="inlineStr">
        <is>
          <t>BSP reference rate, 25 Sep 2026 (whisper/scripts/cases.py).</t>
        </is>
      </c>
      <c r="F67" s="47" t="n">
        <v>62.756</v>
      </c>
      <c r="G67" s="47" t="n">
        <v>62.756</v>
      </c>
      <c r="H67" s="47" t="n">
        <v>62.756</v>
      </c>
      <c r="I67" s="47" t="n">
        <v>62.756</v>
      </c>
      <c r="J67" s="47" t="n">
        <v>62.756</v>
      </c>
      <c r="K67" s="47" t="n">
        <v>62.756</v>
      </c>
      <c r="L67" s="47" t="n">
        <v>62.756</v>
      </c>
      <c r="M67" s="47" t="n">
        <v>62.756</v>
      </c>
      <c r="N67" s="47" t="n">
        <v>62.756</v>
      </c>
      <c r="O67" s="47" t="n">
        <v>62.756</v>
      </c>
      <c r="P67" s="47" t="n">
        <v>62.756</v>
      </c>
      <c r="Q67" s="47" t="n">
        <v>62.756</v>
      </c>
      <c r="R67" s="47" t="n">
        <v>62.756</v>
      </c>
      <c r="S67" s="47" t="n">
        <v>62.756</v>
      </c>
      <c r="T67" s="47" t="n">
        <v>62.756</v>
      </c>
      <c r="U67" s="47" t="n">
        <v>62.756</v>
      </c>
      <c r="V67" s="47" t="n">
        <v>62.756</v>
      </c>
      <c r="W67" s="47" t="n">
        <v>62.756</v>
      </c>
      <c r="X67" s="47" t="n">
        <v>62.756</v>
      </c>
      <c r="Y67" s="47" t="n">
        <v>62.756</v>
      </c>
      <c r="Z67" s="47" t="n">
        <v>62.756</v>
      </c>
      <c r="AA67" s="47" t="n">
        <v>62.756</v>
      </c>
    </row>
    <row r="68" ht="30" customHeight="1">
      <c r="A68" s="43" t="inlineStr">
        <is>
          <t>Taxes and other</t>
        </is>
      </c>
      <c r="B68" s="44" t="inlineStr">
        <is>
          <t>ER 1-94 host-community benefit</t>
        </is>
      </c>
      <c r="C68" s="45" t="inlineStr">
        <is>
          <t>C90</t>
        </is>
      </c>
      <c r="D68" s="45" t="inlineStr">
        <is>
          <t>PhP/kWh</t>
        </is>
      </c>
      <c r="E68" s="46" t="inlineStr">
        <is>
          <t>PhP 0.03/kWh, DOE DC2025-10-0023 (GAIR 8.8.3).</t>
        </is>
      </c>
      <c r="F68" s="59" t="n">
        <v>0.03</v>
      </c>
      <c r="G68" s="59" t="n">
        <v>0.03</v>
      </c>
      <c r="H68" s="59" t="n">
        <v>0.03</v>
      </c>
      <c r="I68" s="59" t="n">
        <v>0.03</v>
      </c>
      <c r="J68" s="59" t="n">
        <v>0.03</v>
      </c>
      <c r="K68" s="59" t="n">
        <v>0.03</v>
      </c>
      <c r="L68" s="59" t="n">
        <v>0.03</v>
      </c>
      <c r="M68" s="59" t="n">
        <v>0.03</v>
      </c>
      <c r="N68" s="59" t="n">
        <v>0.03</v>
      </c>
      <c r="O68" s="59" t="n">
        <v>0.03</v>
      </c>
      <c r="P68" s="59" t="n">
        <v>0.03</v>
      </c>
      <c r="Q68" s="59" t="n">
        <v>0.03</v>
      </c>
      <c r="R68" s="59" t="n">
        <v>0.03</v>
      </c>
      <c r="S68" s="59" t="n">
        <v>0.03</v>
      </c>
      <c r="T68" s="59" t="n">
        <v>0.03</v>
      </c>
      <c r="U68" s="59" t="n">
        <v>0.03</v>
      </c>
      <c r="V68" s="59" t="n">
        <v>0.03</v>
      </c>
      <c r="W68" s="59" t="n">
        <v>0.03</v>
      </c>
      <c r="X68" s="59" t="n">
        <v>0.03</v>
      </c>
      <c r="Y68" s="59" t="n">
        <v>0.03</v>
      </c>
      <c r="Z68" s="59" t="n">
        <v>0.03</v>
      </c>
      <c r="AA68" s="59" t="n">
        <v>0.03</v>
      </c>
    </row>
    <row r="69" ht="30" customHeight="1">
      <c r="A69" s="43" t="inlineStr">
        <is>
          <t>Taxes and other</t>
        </is>
      </c>
      <c r="B69" s="44" t="inlineStr">
        <is>
          <t>Tax incentive regime</t>
        </is>
      </c>
      <c r="C69" s="45" t="inlineStr">
        <is>
          <t>F51</t>
        </is>
      </c>
      <c r="D69" s="45" t="inlineStr">
        <is>
          <t>1=none</t>
        </is>
      </c>
      <c r="E69" s="46" t="inlineStr">
        <is>
          <t>No BOI/PEZA incentive assumed.</t>
        </is>
      </c>
      <c r="F69" s="48" t="n">
        <v>1</v>
      </c>
      <c r="G69" s="48" t="n">
        <v>1</v>
      </c>
      <c r="H69" s="48" t="n">
        <v>1</v>
      </c>
      <c r="I69" s="48" t="n">
        <v>1</v>
      </c>
      <c r="J69" s="48" t="n">
        <v>1</v>
      </c>
      <c r="K69" s="48" t="n">
        <v>1</v>
      </c>
      <c r="L69" s="48" t="n">
        <v>1</v>
      </c>
      <c r="M69" s="48" t="n">
        <v>1</v>
      </c>
      <c r="N69" s="48" t="n">
        <v>1</v>
      </c>
      <c r="O69" s="48" t="n">
        <v>1</v>
      </c>
      <c r="P69" s="48" t="n">
        <v>1</v>
      </c>
      <c r="Q69" s="48" t="n">
        <v>1</v>
      </c>
      <c r="R69" s="48" t="n">
        <v>1</v>
      </c>
      <c r="S69" s="48" t="n">
        <v>1</v>
      </c>
      <c r="T69" s="48" t="n">
        <v>1</v>
      </c>
      <c r="U69" s="48" t="n">
        <v>1</v>
      </c>
      <c r="V69" s="48" t="n">
        <v>1</v>
      </c>
      <c r="W69" s="48" t="n">
        <v>1</v>
      </c>
      <c r="X69" s="48" t="n">
        <v>1</v>
      </c>
      <c r="Y69" s="48" t="n">
        <v>1</v>
      </c>
      <c r="Z69" s="48" t="n">
        <v>1</v>
      </c>
      <c r="AA69" s="48" t="n">
        <v>1</v>
      </c>
    </row>
    <row r="70" ht="30" customHeight="1">
      <c r="A70" s="43" t="inlineStr">
        <is>
          <t>Taxes and other</t>
        </is>
      </c>
      <c r="B70" s="44" t="inlineStr">
        <is>
          <t>Days receivable / payable</t>
        </is>
      </c>
      <c r="C70" s="45" t="inlineStr">
        <is>
          <t>F48</t>
        </is>
      </c>
      <c r="D70" s="45" t="inlineStr">
        <is>
          <t>days</t>
        </is>
      </c>
      <c r="E70" s="46" t="inlineStr">
        <is>
          <t>naruto / ERC Mid-Merit Financial Model default (ADV model reviewed 9 Oct 2026); unchanged across cases.</t>
        </is>
      </c>
      <c r="F70" s="48" t="n">
        <v>30</v>
      </c>
      <c r="G70" s="48" t="n">
        <v>30</v>
      </c>
      <c r="H70" s="48" t="n">
        <v>30</v>
      </c>
      <c r="I70" s="48" t="n">
        <v>30</v>
      </c>
      <c r="J70" s="48" t="n">
        <v>30</v>
      </c>
      <c r="K70" s="48" t="n">
        <v>30</v>
      </c>
      <c r="L70" s="48" t="n">
        <v>30</v>
      </c>
      <c r="M70" s="48" t="n">
        <v>30</v>
      </c>
      <c r="N70" s="48" t="n">
        <v>30</v>
      </c>
      <c r="O70" s="48" t="n">
        <v>30</v>
      </c>
      <c r="P70" s="48" t="n">
        <v>30</v>
      </c>
      <c r="Q70" s="48" t="n">
        <v>30</v>
      </c>
      <c r="R70" s="48" t="n">
        <v>30</v>
      </c>
      <c r="S70" s="48" t="n">
        <v>30</v>
      </c>
      <c r="T70" s="48" t="n">
        <v>30</v>
      </c>
      <c r="U70" s="48" t="n">
        <v>30</v>
      </c>
      <c r="V70" s="48" t="n">
        <v>30</v>
      </c>
      <c r="W70" s="48" t="n">
        <v>30</v>
      </c>
      <c r="X70" s="48" t="n">
        <v>30</v>
      </c>
      <c r="Y70" s="48" t="n">
        <v>30</v>
      </c>
      <c r="Z70" s="48" t="n">
        <v>30</v>
      </c>
      <c r="AA70" s="48" t="n">
        <v>30</v>
      </c>
    </row>
    <row r="71" ht="30" customHeight="1">
      <c r="A71" s="43" t="inlineStr">
        <is>
          <t>Taxes and other</t>
        </is>
      </c>
      <c r="B71" s="44" t="inlineStr">
        <is>
          <t>Local / US inflation for OPEX</t>
        </is>
      </c>
      <c r="C71" s="45" t="inlineStr">
        <is>
          <t>J49</t>
        </is>
      </c>
      <c r="D71" s="45" t="inlineStr">
        <is>
          <t>% p.a.</t>
        </is>
      </c>
      <c r="E71" s="46" t="inlineStr">
        <is>
          <t>0%: real terms; the GAT Price is not indexed (GAIR 8.9).</t>
        </is>
      </c>
      <c r="F71" s="48" t="n">
        <v>0</v>
      </c>
      <c r="G71" s="48" t="n">
        <v>0</v>
      </c>
      <c r="H71" s="48" t="n">
        <v>0</v>
      </c>
      <c r="I71" s="48" t="n">
        <v>0</v>
      </c>
      <c r="J71" s="48" t="n">
        <v>0</v>
      </c>
      <c r="K71" s="48" t="n">
        <v>0</v>
      </c>
      <c r="L71" s="48" t="n">
        <v>0</v>
      </c>
      <c r="M71" s="48" t="n">
        <v>0</v>
      </c>
      <c r="N71" s="48" t="n">
        <v>0</v>
      </c>
      <c r="O71" s="48" t="n">
        <v>0</v>
      </c>
      <c r="P71" s="48" t="n">
        <v>0</v>
      </c>
      <c r="Q71" s="48" t="n">
        <v>0</v>
      </c>
      <c r="R71" s="48" t="n">
        <v>0</v>
      </c>
      <c r="S71" s="48" t="n">
        <v>0</v>
      </c>
      <c r="T71" s="48" t="n">
        <v>0</v>
      </c>
      <c r="U71" s="48" t="n">
        <v>0</v>
      </c>
      <c r="V71" s="48" t="n">
        <v>0</v>
      </c>
      <c r="W71" s="48" t="n">
        <v>0</v>
      </c>
      <c r="X71" s="48" t="n">
        <v>0</v>
      </c>
      <c r="Y71" s="48" t="n">
        <v>0</v>
      </c>
      <c r="Z71" s="48" t="n">
        <v>0</v>
      </c>
      <c r="AA71" s="48" t="n">
        <v>0</v>
      </c>
    </row>
    <row r="72">
      <c r="A72" s="41" t="inlineStr">
        <is>
          <t>7. Results</t>
        </is>
      </c>
      <c r="B72" s="42" t="n"/>
      <c r="C72" s="42" t="n"/>
      <c r="D72" s="42" t="n"/>
      <c r="E72" s="42" t="n"/>
      <c r="F72" s="42" t="n"/>
      <c r="G72" s="42" t="n"/>
      <c r="H72" s="42" t="n"/>
      <c r="I72" s="42" t="n"/>
      <c r="J72" s="42" t="n"/>
      <c r="K72" s="42" t="n"/>
      <c r="L72" s="42" t="n"/>
      <c r="M72" s="42" t="n"/>
      <c r="N72" s="42" t="n"/>
      <c r="O72" s="42" t="n"/>
      <c r="P72" s="42" t="n"/>
      <c r="Q72" s="42" t="n"/>
      <c r="R72" s="42" t="n"/>
      <c r="S72" s="42" t="n"/>
      <c r="T72" s="42" t="n"/>
      <c r="U72" s="42" t="n"/>
      <c r="V72" s="42" t="n"/>
      <c r="W72" s="42" t="n"/>
      <c r="X72" s="42" t="n"/>
      <c r="Y72" s="42" t="n"/>
      <c r="Z72" s="42" t="n"/>
      <c r="AA72" s="42" t="n"/>
    </row>
    <row r="73" ht="30" customHeight="1">
      <c r="A73" s="43" t="inlineStr">
        <is>
          <t>Results</t>
        </is>
      </c>
      <c r="B73" s="55" t="inlineStr">
        <is>
          <t>GAT Price = CRF + OM (excl. fuel and CLLC)</t>
        </is>
      </c>
      <c r="C73" s="45" t="inlineStr">
        <is>
          <t>F30</t>
        </is>
      </c>
      <c r="D73" s="45" t="inlineStr">
        <is>
          <t>PhP/kWh</t>
        </is>
      </c>
      <c r="E73" s="46" t="inlineStr">
        <is>
          <t>Re-solved 20 Oct 2026 without the CLLC: equity NPV = 0 at Re (Goal Seek G28 = 0 by changing F30).</t>
        </is>
      </c>
      <c r="F73" s="108" t="n">
        <v>1.717095361163876</v>
      </c>
      <c r="G73" s="108" t="n">
        <v>1.639324472379034</v>
      </c>
      <c r="H73" s="108" t="n">
        <v>2.985732394996519</v>
      </c>
      <c r="I73" s="108" t="n">
        <v>1.937888118403868</v>
      </c>
      <c r="J73" s="108" t="n">
        <v>2.974955657570167</v>
      </c>
      <c r="K73" s="108" t="n">
        <v>2.985677162670138</v>
      </c>
      <c r="L73" s="108" t="n">
        <v>1.937835263462828</v>
      </c>
      <c r="M73" s="108" t="n">
        <v>2.974904282305064</v>
      </c>
      <c r="N73" s="108" t="n">
        <v>2.985688998031168</v>
      </c>
      <c r="O73" s="108" t="n">
        <v>1.937846589370002</v>
      </c>
      <c r="P73" s="108" t="n">
        <v>2.974915291222991</v>
      </c>
      <c r="Q73" s="108" t="n">
        <v>1.092605134586144</v>
      </c>
      <c r="R73" s="108" t="n">
        <v>1.092573467316189</v>
      </c>
      <c r="S73" s="108" t="n">
        <v>2.042340560700642</v>
      </c>
      <c r="T73" s="108" t="n">
        <v>1.402045000614633</v>
      </c>
      <c r="U73" s="108" t="n">
        <v>2.076133892420363</v>
      </c>
      <c r="V73" s="108" t="n">
        <v>2.042303811535037</v>
      </c>
      <c r="W73" s="108" t="n">
        <v>1.402009833256881</v>
      </c>
      <c r="X73" s="108" t="n">
        <v>2.076099709574031</v>
      </c>
      <c r="Y73" s="108" t="n">
        <v>2.042311686264764</v>
      </c>
      <c r="Z73" s="108" t="n">
        <v>1.402017369018373</v>
      </c>
      <c r="AA73" s="108" t="n">
        <v>2.076107034424793</v>
      </c>
    </row>
    <row r="74" ht="30" customHeight="1">
      <c r="A74" s="43" t="inlineStr">
        <is>
          <t>Results</t>
        </is>
      </c>
      <c r="B74" s="44" t="inlineStr">
        <is>
          <t>Capital recovery (first year)</t>
        </is>
      </c>
      <c r="C74" s="45" t="inlineStr">
        <is>
          <t>TB A4</t>
        </is>
      </c>
      <c r="D74" s="45" t="inlineStr">
        <is>
          <t>PhP/kWh</t>
        </is>
      </c>
      <c r="E74" s="46" t="inlineStr">
        <is>
          <t>Tariff Breakdown A4 x PhP/US$.</t>
        </is>
      </c>
      <c r="F74" s="109" t="n">
        <v>1.113210815556322</v>
      </c>
      <c r="G74" s="109" t="n">
        <v>1.114523660438698</v>
      </c>
      <c r="H74" s="109" t="n">
        <v>2.363809735748692</v>
      </c>
      <c r="I74" s="109" t="n">
        <v>1.323451656678538</v>
      </c>
      <c r="J74" s="109" t="n">
        <v>2.18615083302484</v>
      </c>
      <c r="K74" s="109" t="n">
        <v>2.363790590846974</v>
      </c>
      <c r="L74" s="109" t="n">
        <v>1.323434963816624</v>
      </c>
      <c r="M74" s="109" t="n">
        <v>2.186135651897272</v>
      </c>
      <c r="N74" s="109" t="n">
        <v>2.363794693189526</v>
      </c>
      <c r="O74" s="109" t="n">
        <v>1.323438540708331</v>
      </c>
      <c r="P74" s="109" t="n">
        <v>2.18613890492919</v>
      </c>
      <c r="Q74" s="109" t="n">
        <v>0.7000142895800525</v>
      </c>
      <c r="R74" s="109" t="n">
        <v>0.7000056945691875</v>
      </c>
      <c r="S74" s="109" t="n">
        <v>1.572109954361591</v>
      </c>
      <c r="T74" s="109" t="n">
        <v>0.878930300511378</v>
      </c>
      <c r="U74" s="109" t="n">
        <v>1.453204360104791</v>
      </c>
      <c r="V74" s="109" t="n">
        <v>1.572097216184333</v>
      </c>
      <c r="W74" s="109" t="n">
        <v>0.8789191938137773</v>
      </c>
      <c r="X74" s="109" t="n">
        <v>1.453194259248868</v>
      </c>
      <c r="Y74" s="109" t="n">
        <v>1.572099945702999</v>
      </c>
      <c r="Z74" s="109" t="n">
        <v>0.8789215737205135</v>
      </c>
      <c r="AA74" s="109" t="n">
        <v>1.453196423673517</v>
      </c>
    </row>
    <row r="75" ht="30" customHeight="1">
      <c r="A75" s="43" t="inlineStr">
        <is>
          <t>Results</t>
        </is>
      </c>
      <c r="B75" s="44" t="inlineStr">
        <is>
          <t>Fixed O&amp;M, G&amp;A, taxes (first year)</t>
        </is>
      </c>
      <c r="C75" s="45" t="inlineStr">
        <is>
          <t>TB A5</t>
        </is>
      </c>
      <c r="D75" s="45" t="inlineStr">
        <is>
          <t>PhP/kWh</t>
        </is>
      </c>
      <c r="E75" s="46" t="inlineStr">
        <is>
          <t>Tariff Breakdown A5 x PhP/US$.</t>
        </is>
      </c>
      <c r="F75" s="109" t="n">
        <v>0.3916624593116242</v>
      </c>
      <c r="G75" s="109" t="n">
        <v>0.3864718724811137</v>
      </c>
      <c r="H75" s="109" t="n">
        <v>0.476027654907891</v>
      </c>
      <c r="I75" s="109" t="n">
        <v>0.3137040784779557</v>
      </c>
      <c r="J75" s="109" t="n">
        <v>0.5267781569733451</v>
      </c>
      <c r="K75" s="109" t="n">
        <v>0.4760210630849508</v>
      </c>
      <c r="L75" s="109" t="n">
        <v>0.3136974704410716</v>
      </c>
      <c r="M75" s="109" t="n">
        <v>0.5267715446288235</v>
      </c>
      <c r="N75" s="109" t="n">
        <v>0.4760224756172284</v>
      </c>
      <c r="O75" s="109" t="n">
        <v>0.3136988864474425</v>
      </c>
      <c r="P75" s="109" t="n">
        <v>0.5267729615591632</v>
      </c>
      <c r="Q75" s="109" t="n">
        <v>0.257609803923315</v>
      </c>
      <c r="R75" s="109" t="n">
        <v>0.2576055761516349</v>
      </c>
      <c r="S75" s="109" t="n">
        <v>0.3299022185238005</v>
      </c>
      <c r="T75" s="109" t="n">
        <v>0.2256939969907663</v>
      </c>
      <c r="U75" s="109" t="n">
        <v>0.3664016030100771</v>
      </c>
      <c r="V75" s="109" t="n">
        <v>0.3298978326141578</v>
      </c>
      <c r="W75" s="109" t="n">
        <v>0.2256896002930769</v>
      </c>
      <c r="X75" s="109" t="n">
        <v>0.3663972034462749</v>
      </c>
      <c r="Y75" s="109" t="n">
        <v>0.3298987724511336</v>
      </c>
      <c r="Z75" s="109" t="n">
        <v>0.2256905424415618</v>
      </c>
      <c r="AA75" s="109" t="n">
        <v>0.366398146209528</v>
      </c>
    </row>
    <row r="76" ht="30" customHeight="1">
      <c r="A76" s="43" t="inlineStr">
        <is>
          <t>Results</t>
        </is>
      </c>
      <c r="B76" s="44" t="inlineStr">
        <is>
          <t>Variable O&amp;M, excl. logistics (first year)</t>
        </is>
      </c>
      <c r="C76" s="45" t="inlineStr">
        <is>
          <t>TB A9</t>
        </is>
      </c>
      <c r="D76" s="45" t="inlineStr">
        <is>
          <t>PhP/kWh</t>
        </is>
      </c>
      <c r="E76" s="46" t="inlineStr">
        <is>
          <t>Tariff Breakdown (A8 + A9) x PhP/US$.</t>
        </is>
      </c>
      <c r="F76" s="109" t="n">
        <v>0.2122220862959301</v>
      </c>
      <c r="G76" s="109" t="n">
        <v>0.1383289394592217</v>
      </c>
      <c r="H76" s="109" t="n">
        <v>0.1458950043399359</v>
      </c>
      <c r="I76" s="109" t="n">
        <v>0.3007323832473738</v>
      </c>
      <c r="J76" s="109" t="n">
        <v>0.262026667571982</v>
      </c>
      <c r="K76" s="109" t="n">
        <v>0.1458655087382131</v>
      </c>
      <c r="L76" s="109" t="n">
        <v>0.300702829205132</v>
      </c>
      <c r="M76" s="109" t="n">
        <v>0.2619970857789685</v>
      </c>
      <c r="N76" s="109" t="n">
        <v>0.1458718292244134</v>
      </c>
      <c r="O76" s="109" t="n">
        <v>0.3007091622142286</v>
      </c>
      <c r="P76" s="109" t="n">
        <v>0.2620034247346381</v>
      </c>
      <c r="Q76" s="109" t="n">
        <v>0.1349810410827766</v>
      </c>
      <c r="R76" s="109" t="n">
        <v>0.1349621965953666</v>
      </c>
      <c r="S76" s="109" t="n">
        <v>0.1403283878152508</v>
      </c>
      <c r="T76" s="109" t="n">
        <v>0.2974207031124884</v>
      </c>
      <c r="U76" s="109" t="n">
        <v>0.2565279293054955</v>
      </c>
      <c r="V76" s="109" t="n">
        <v>0.1403087627365452</v>
      </c>
      <c r="W76" s="109" t="n">
        <v>0.2974010391500267</v>
      </c>
      <c r="X76" s="109" t="n">
        <v>0.2565082468788883</v>
      </c>
      <c r="Y76" s="109" t="n">
        <v>0.1403129681106313</v>
      </c>
      <c r="Z76" s="109" t="n">
        <v>0.2974052528562983</v>
      </c>
      <c r="AA76" s="109" t="n">
        <v>0.2565124645417485</v>
      </c>
    </row>
    <row r="77" ht="30" customHeight="1">
      <c r="A77" t="inlineStr">
        <is>
          <t>Results</t>
        </is>
      </c>
      <c r="B77" t="inlineStr">
        <is>
          <t>CLLC now paid through the Fuel Cost (first year)</t>
        </is>
      </c>
      <c r="C77" t="inlineStr">
        <is>
          <t>GATP Build-up C26</t>
        </is>
      </c>
      <c r="D77" t="inlineStr">
        <is>
          <t>PhP/kWh</t>
        </is>
      </c>
      <c r="E77" t="inlineStr">
        <is>
          <t>Previous GATP minus the re-solved GATP: logistics moved out of the GAT Price.</t>
        </is>
      </c>
      <c r="F77" s="110" t="n">
        <v>1.216353671233749</v>
      </c>
      <c r="G77" s="110" t="n">
        <v>0.7740432453305683</v>
      </c>
      <c r="H77" s="110" t="n">
        <v>0.7435691018136166</v>
      </c>
      <c r="I77" s="110" t="n">
        <v>1.194586425864496</v>
      </c>
      <c r="J77" s="110" t="n">
        <v>0.9751725925424473</v>
      </c>
      <c r="K77" s="110" t="n">
        <v>1.232759300375205</v>
      </c>
      <c r="L77" s="110" t="n">
        <v>1.980498548143772</v>
      </c>
      <c r="M77" s="110" t="n">
        <v>1.616733508688793</v>
      </c>
      <c r="N77" s="110" t="n">
        <v>1.232759300375206</v>
      </c>
      <c r="O77" s="110" t="n">
        <v>1.980498548143771</v>
      </c>
      <c r="P77" s="110" t="n">
        <v>1.616733508688794</v>
      </c>
      <c r="Q77" s="110" t="n">
        <v>0.774043245330567</v>
      </c>
      <c r="R77" s="110" t="n">
        <v>0.7740432453305666</v>
      </c>
      <c r="S77" s="110" t="n">
        <v>0.7435691018136166</v>
      </c>
      <c r="T77" s="110" t="n">
        <v>1.194586425864495</v>
      </c>
      <c r="U77" s="110" t="n">
        <v>0.9751725925424477</v>
      </c>
      <c r="V77" s="110" t="n">
        <v>1.232759300375205</v>
      </c>
      <c r="W77" s="110" t="n">
        <v>1.980498548143771</v>
      </c>
      <c r="X77" s="110" t="n">
        <v>1.616733528166195</v>
      </c>
      <c r="Y77" s="110" t="n">
        <v>1.232759300375205</v>
      </c>
      <c r="Z77" s="110" t="n">
        <v>1.980498548143772</v>
      </c>
      <c r="AA77" s="110" t="n">
        <v>1.616733528558621</v>
      </c>
    </row>
    <row r="78" ht="30" customHeight="1">
      <c r="A78" s="43" t="inlineStr">
        <is>
          <t>Results</t>
        </is>
      </c>
      <c r="B78" s="44" t="inlineStr">
        <is>
          <t>Equity IRR</t>
        </is>
      </c>
      <c r="C78" s="45" t="inlineStr">
        <is>
          <t>G30</t>
        </is>
      </c>
      <c r="D78" s="45" t="inlineStr">
        <is>
          <t>%</t>
        </is>
      </c>
      <c r="E78" s="46" t="inlineStr">
        <is>
          <t>Equals Re when solved.</t>
        </is>
      </c>
      <c r="F78" s="58" t="n">
        <v>0.14</v>
      </c>
      <c r="G78" s="58" t="n">
        <v>0.14</v>
      </c>
      <c r="H78" s="58" t="n">
        <v>0.14</v>
      </c>
      <c r="I78" s="58" t="n">
        <v>0.14</v>
      </c>
      <c r="J78" s="58" t="n">
        <v>0.14</v>
      </c>
      <c r="K78" s="58" t="n">
        <v>0.14</v>
      </c>
      <c r="L78" s="58" t="n">
        <v>0.14</v>
      </c>
      <c r="M78" s="58" t="n">
        <v>0.14</v>
      </c>
      <c r="N78" s="58" t="n">
        <v>0.14</v>
      </c>
      <c r="O78" s="58" t="n">
        <v>0.14</v>
      </c>
      <c r="P78" s="58" t="n">
        <v>0.14</v>
      </c>
      <c r="Q78" s="58" t="n">
        <v>0.14</v>
      </c>
      <c r="R78" s="58" t="n">
        <v>0.139999999999999</v>
      </c>
      <c r="S78" s="58" t="n">
        <v>0.14</v>
      </c>
      <c r="T78" s="58" t="n">
        <v>0.14</v>
      </c>
      <c r="U78" s="58" t="n">
        <v>0.14</v>
      </c>
      <c r="V78" s="58" t="n">
        <v>0.14</v>
      </c>
      <c r="W78" s="58" t="n">
        <v>0.14</v>
      </c>
      <c r="X78" s="58" t="n">
        <v>0.140000002983082</v>
      </c>
      <c r="Y78" s="58" t="n">
        <v>0.14</v>
      </c>
      <c r="Z78" s="58" t="n">
        <v>0.14</v>
      </c>
      <c r="AA78" s="58" t="n">
        <v>0.140000003043171</v>
      </c>
    </row>
    <row r="79" ht="30" customHeight="1">
      <c r="A79" s="43" t="inlineStr">
        <is>
          <t>Results</t>
        </is>
      </c>
      <c r="B79" s="44" t="inlineStr">
        <is>
          <t>Project IRR</t>
        </is>
      </c>
      <c r="C79" s="45" t="inlineStr">
        <is>
          <t>G32</t>
        </is>
      </c>
      <c r="D79" s="45" t="inlineStr">
        <is>
          <t>%</t>
        </is>
      </c>
      <c r="E79" s="46" t="inlineStr">
        <is>
          <t>Model result.</t>
        </is>
      </c>
      <c r="F79" s="58" t="n">
        <v>0.117964273244369</v>
      </c>
      <c r="G79" s="58" t="n">
        <v>0.118056271649446</v>
      </c>
      <c r="H79" s="58" t="n">
        <v>0.11062505734442</v>
      </c>
      <c r="I79" s="58" t="n">
        <v>0.113877294670823</v>
      </c>
      <c r="J79" s="58" t="n">
        <v>0.112752607467852</v>
      </c>
      <c r="K79" s="58" t="n">
        <v>0.110567285612016</v>
      </c>
      <c r="L79" s="58" t="n">
        <v>0.113723206811988</v>
      </c>
      <c r="M79" s="58" t="n">
        <v>0.11267476417135</v>
      </c>
      <c r="N79" s="58" t="n">
        <v>0.11056824170446</v>
      </c>
      <c r="O79" s="58" t="n">
        <v>0.113724995258009</v>
      </c>
      <c r="P79" s="58" t="n">
        <v>0.112675794777446</v>
      </c>
      <c r="Q79" s="58" t="n">
        <v>0.11796383504052</v>
      </c>
      <c r="R79" s="58" t="n">
        <v>0.117953638502882</v>
      </c>
      <c r="S79" s="58" t="n">
        <v>0.110578234901689</v>
      </c>
      <c r="T79" s="58" t="n">
        <v>0.113739743325391</v>
      </c>
      <c r="U79" s="58" t="n">
        <v>0.112683434109201</v>
      </c>
      <c r="V79" s="58" t="n">
        <v>0.110493253967895</v>
      </c>
      <c r="W79" s="58" t="n">
        <v>0.113508925018704</v>
      </c>
      <c r="X79" s="58" t="n">
        <v>0.112568027450008</v>
      </c>
      <c r="Y79" s="58" t="n">
        <v>0.110494212971933</v>
      </c>
      <c r="Z79" s="58" t="n">
        <v>0.113510730525212</v>
      </c>
      <c r="AA79" s="58" t="n">
        <v>0.11256906283893</v>
      </c>
    </row>
    <row r="80" ht="30" customHeight="1">
      <c r="A80" s="43" t="inlineStr">
        <is>
          <t>Results</t>
        </is>
      </c>
      <c r="B80" s="44" t="inlineStr">
        <is>
          <t>First-year energy</t>
        </is>
      </c>
      <c r="C80" s="45" t="inlineStr">
        <is>
          <t>F12</t>
        </is>
      </c>
      <c r="D80" s="45" t="inlineStr">
        <is>
          <t>MWh</t>
        </is>
      </c>
      <c r="E80" s="46" t="inlineStr">
        <is>
          <t>Installed MW x CF x 8,760.</t>
        </is>
      </c>
      <c r="F80" s="62" t="n">
        <v>5150880</v>
      </c>
      <c r="G80" s="62" t="n">
        <v>1839600</v>
      </c>
      <c r="H80" s="62" t="n">
        <v>3679200</v>
      </c>
      <c r="I80" s="62" t="n">
        <v>3679200</v>
      </c>
      <c r="J80" s="62" t="n">
        <v>3679200</v>
      </c>
      <c r="K80" s="62" t="n">
        <v>1618848</v>
      </c>
      <c r="L80" s="62" t="n">
        <v>1618848</v>
      </c>
      <c r="M80" s="62" t="n">
        <v>1618848</v>
      </c>
      <c r="N80" s="62" t="n">
        <v>1839600</v>
      </c>
      <c r="O80" s="62" t="n">
        <v>1839600</v>
      </c>
      <c r="P80" s="62" t="n">
        <v>1839600</v>
      </c>
      <c r="Q80" s="63" t="n">
        <v>8192406.13286078</v>
      </c>
      <c r="R80" s="63" t="n">
        <v>2925859.33316456</v>
      </c>
      <c r="S80" s="63" t="n">
        <v>5529670.45309374</v>
      </c>
      <c r="T80" s="63" t="n">
        <v>5529670.45309374</v>
      </c>
      <c r="U80" s="63" t="n">
        <v>5529670.45309374</v>
      </c>
      <c r="V80" s="63" t="n">
        <v>2433054.99936125</v>
      </c>
      <c r="W80" s="63" t="n">
        <v>2433054.99936125</v>
      </c>
      <c r="X80" s="63" t="n">
        <v>2433054.99936125</v>
      </c>
      <c r="Y80" s="63" t="n">
        <v>2764835.22654687</v>
      </c>
      <c r="Z80" s="63" t="n">
        <v>2764835.22654687</v>
      </c>
      <c r="AA80" s="63" t="n">
        <v>2764835.22654687</v>
      </c>
    </row>
    <row r="81">
      <c r="A81" s="43" t="inlineStr">
        <is>
          <t>Results</t>
        </is>
      </c>
      <c r="B81" s="44" t="inlineStr">
        <is>
          <t>Model file</t>
        </is>
      </c>
      <c r="C81" s="45" t="inlineStr">
        <is>
          <t>—</t>
        </is>
      </c>
      <c r="D81" s="45" t="inlineStr"/>
      <c r="E81" s="46" t="inlineStr">
        <is>
          <t>Varies by case — see the comment on each value.</t>
        </is>
      </c>
      <c r="F81" s="53" t="inlineStr">
        <is>
          <t>Fin42_Lot1_Existing_CCGT_Luzon_1400MW.xlsm</t>
        </is>
      </c>
      <c r="G81" s="53" t="inlineStr">
        <is>
          <t>Fin42_Lot2_Existing_CCGT_Luzon_500MW.xlsm</t>
        </is>
      </c>
      <c r="H81" s="53" t="inlineStr">
        <is>
          <t>Fin42_NewBuild_CCGT_Luzon_1000MW.xlsm</t>
        </is>
      </c>
      <c r="I81" s="53" t="inlineStr">
        <is>
          <t>Fin42_NewBuild_OCGT_Luzon_1000MW.xlsm</t>
        </is>
      </c>
      <c r="J81" s="53" t="inlineStr">
        <is>
          <t>Fin42_NewBuild_GasEngine_Luzon_1000MW.xlsm</t>
        </is>
      </c>
      <c r="K81" s="53" t="inlineStr">
        <is>
          <t>Fin42_NewBuild_CCGT_Visayas_440MW.xlsm</t>
        </is>
      </c>
      <c r="L81" s="53" t="inlineStr">
        <is>
          <t>Fin42_NewBuild_OCGT_Visayas_440MW.xlsm</t>
        </is>
      </c>
      <c r="M81" s="53" t="inlineStr">
        <is>
          <t>Fin42_NewBuild_GasEngine_Visayas_440MW.xlsm</t>
        </is>
      </c>
      <c r="N81" s="53" t="inlineStr">
        <is>
          <t>Fin42_NewBuild_CCGT_Visayas_500MW.xlsm</t>
        </is>
      </c>
      <c r="O81" s="53" t="inlineStr">
        <is>
          <t>Fin42_NewBuild_OCGT_Visayas_500MW.xlsm</t>
        </is>
      </c>
      <c r="P81" s="53" t="inlineStr">
        <is>
          <t>Fin42_NewBuild_GasEngine_Visayas_500MW.xlsm</t>
        </is>
      </c>
      <c r="Q81" s="53" t="inlineStr">
        <is>
          <t>Fin90_Lot1_Existing_CCGT_Luzon_1400MW.xlsm</t>
        </is>
      </c>
      <c r="R81" s="53" t="inlineStr">
        <is>
          <t>Fin90_Lot2_Existing_CCGT_Luzon_500MW.xlsm</t>
        </is>
      </c>
      <c r="S81" s="53" t="inlineStr">
        <is>
          <t>Fin90_NewBuild_CCGT_Luzon_1000MW.xlsm</t>
        </is>
      </c>
      <c r="T81" s="53" t="inlineStr">
        <is>
          <t>Fin90_NewBuild_OCGT_Luzon_1000MW.xlsm</t>
        </is>
      </c>
      <c r="U81" s="53" t="inlineStr">
        <is>
          <t>Fin90_NewBuild_GasEngine_Luzon_1000MW.xlsm</t>
        </is>
      </c>
      <c r="V81" s="53" t="inlineStr">
        <is>
          <t>Fin90_NewBuild_CCGT_Visayas_440MW.xlsm</t>
        </is>
      </c>
      <c r="W81" s="53" t="inlineStr">
        <is>
          <t>Fin90_NewBuild_OCGT_Visayas_440MW.xlsm</t>
        </is>
      </c>
      <c r="X81" s="53" t="inlineStr">
        <is>
          <t>Fin90_NewBuild_GasEngine_Visayas_440MW.xlsm</t>
        </is>
      </c>
      <c r="Y81" s="53" t="inlineStr">
        <is>
          <t>Fin90_NewBuild_CCGT_Visayas_500MW.xlsm</t>
        </is>
      </c>
      <c r="Z81" s="53" t="inlineStr">
        <is>
          <t>Fin90_NewBuild_OCGT_Visayas_500MW.xlsm</t>
        </is>
      </c>
      <c r="AA81" s="53" t="inlineStr">
        <is>
          <t>Fin90_NewBuild_GasEngine_Visayas_500MW.xlsm</t>
        </is>
      </c>
    </row>
  </sheetData>
  <mergeCells count="7">
    <mergeCell ref="A5:A6"/>
    <mergeCell ref="E5:E6"/>
    <mergeCell ref="Q5:AA5"/>
    <mergeCell ref="F5:P5"/>
    <mergeCell ref="C5:C6"/>
    <mergeCell ref="B5:B6"/>
    <mergeCell ref="D5:D6"/>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20" customWidth="1" min="1" max="1"/>
    <col width="26" customWidth="1" min="2" max="2"/>
    <col width="12" customWidth="1" min="3" max="3"/>
    <col width="12" customWidth="1" min="4" max="4"/>
    <col width="30" customWidth="1" min="5" max="5"/>
    <col width="14" customWidth="1" min="6" max="6"/>
    <col width="22" customWidth="1" min="7" max="7"/>
    <col width="12" customWidth="1" min="8" max="8"/>
    <col width="26" customWidth="1" min="9" max="9"/>
  </cols>
  <sheetData>
    <row r="1">
      <c r="A1" s="18" t="inlineStr">
        <is>
          <t>DOE Terms of Reference – auction lots (Annex B)</t>
        </is>
      </c>
    </row>
    <row r="3">
      <c r="A3" s="5" t="inlineStr">
        <is>
          <t>Lot</t>
        </is>
      </c>
      <c r="B3" s="5" t="inlineStr">
        <is>
          <t>Grid</t>
        </is>
      </c>
      <c r="C3" s="5" t="inlineStr">
        <is>
          <t>Auction capacity</t>
        </is>
      </c>
      <c r="D3" s="5" t="inlineStr">
        <is>
          <t>Minimum offer block</t>
        </is>
      </c>
      <c r="E3" s="5" t="inlineStr">
        <is>
          <t>Capacity factor</t>
        </is>
      </c>
      <c r="F3" s="5" t="inlineStr">
        <is>
          <t>Delivery commencement year</t>
        </is>
      </c>
      <c r="G3" s="5" t="inlineStr">
        <is>
          <t>Supply delivery period</t>
        </is>
      </c>
      <c r="H3" s="5" t="inlineStr">
        <is>
          <t>Delivery hours</t>
        </is>
      </c>
      <c r="I3" s="5" t="inlineStr">
        <is>
          <t>TOR reference</t>
        </is>
      </c>
    </row>
    <row r="4">
      <c r="A4" s="19" t="inlineStr">
        <is>
          <t>A. Existing – Lot 1</t>
        </is>
      </c>
      <c r="B4" s="19" t="inlineStr">
        <is>
          <t>Luzon</t>
        </is>
      </c>
      <c r="C4" s="19" t="inlineStr">
        <is>
          <t>1,400 MW</t>
        </is>
      </c>
      <c r="D4" s="19" t="inlineStr">
        <is>
          <t>250 MW</t>
        </is>
      </c>
      <c r="E4" s="19" t="inlineStr">
        <is>
          <t>38%–42% (mid-merit); 22%–24% (non-mid-merit)</t>
        </is>
      </c>
      <c r="F4" s="19" t="inlineStr">
        <is>
          <t>Commencing 2026</t>
        </is>
      </c>
      <c r="G4" s="19" t="inlineStr">
        <is>
          <t>5 yrs + 5 yrs extension</t>
        </is>
      </c>
      <c r="H4" s="19" t="inlineStr">
        <is>
          <t>14 h / 10 h</t>
        </is>
      </c>
      <c r="I4" s="19" t="inlineStr">
        <is>
          <t>TOR 1.1; 1.2.1.1; 4.2; 18.3</t>
        </is>
      </c>
    </row>
    <row r="5">
      <c r="A5" s="19" t="inlineStr">
        <is>
          <t>A. Existing – Lot 2</t>
        </is>
      </c>
      <c r="B5" s="19" t="inlineStr">
        <is>
          <t>Luzon</t>
        </is>
      </c>
      <c r="C5" s="19" t="inlineStr">
        <is>
          <t>500 MW</t>
        </is>
      </c>
      <c r="D5" s="19" t="inlineStr">
        <is>
          <t>250 MW</t>
        </is>
      </c>
      <c r="E5" s="19" t="inlineStr">
        <is>
          <t>37%–42%</t>
        </is>
      </c>
      <c r="F5" s="19" t="inlineStr">
        <is>
          <t>2027</t>
        </is>
      </c>
      <c r="G5" s="19" t="inlineStr">
        <is>
          <t>10 yrs</t>
        </is>
      </c>
      <c r="H5" s="19" t="inlineStr">
        <is>
          <t>14 h</t>
        </is>
      </c>
      <c r="I5" s="19" t="inlineStr">
        <is>
          <t>TOR 1.1; 1.2.1.2; 4.2</t>
        </is>
      </c>
    </row>
    <row r="6">
      <c r="A6" s="19" t="inlineStr">
        <is>
          <t>B. New-Build</t>
        </is>
      </c>
      <c r="B6" s="19" t="inlineStr">
        <is>
          <t>Luzon</t>
        </is>
      </c>
      <c r="C6" s="19" t="inlineStr">
        <is>
          <t>1,000 MW</t>
        </is>
      </c>
      <c r="D6" s="19" t="inlineStr">
        <is>
          <t>20 MW</t>
        </is>
      </c>
      <c r="E6" s="19" t="inlineStr">
        <is>
          <t>37%–42%</t>
        </is>
      </c>
      <c r="F6" s="19" t="inlineStr">
        <is>
          <t>2031</t>
        </is>
      </c>
      <c r="G6" s="19" t="inlineStr">
        <is>
          <t>20 yrs</t>
        </is>
      </c>
      <c r="H6" s="19" t="inlineStr">
        <is>
          <t>14 h</t>
        </is>
      </c>
      <c r="I6" s="19" t="inlineStr">
        <is>
          <t>TOR 1.1; 1.2.2; 4.2</t>
        </is>
      </c>
    </row>
    <row r="7">
      <c r="A7" s="19" t="inlineStr">
        <is>
          <t>B. New-Build</t>
        </is>
      </c>
      <c r="B7" s="19" t="inlineStr">
        <is>
          <t>Visayas (Cebu and/or Panay)</t>
        </is>
      </c>
      <c r="C7" s="19" t="inlineStr">
        <is>
          <t>440 MW</t>
        </is>
      </c>
      <c r="D7" s="19" t="inlineStr">
        <is>
          <t>20 MW</t>
        </is>
      </c>
      <c r="E7" s="19" t="inlineStr">
        <is>
          <t>37%–42%</t>
        </is>
      </c>
      <c r="F7" s="19" t="inlineStr">
        <is>
          <t>2028</t>
        </is>
      </c>
      <c r="G7" s="19" t="inlineStr">
        <is>
          <t>20 yrs</t>
        </is>
      </c>
      <c r="H7" s="19" t="inlineStr">
        <is>
          <t>14 h</t>
        </is>
      </c>
      <c r="I7" s="19" t="inlineStr">
        <is>
          <t>TOR 1.1; 1.2.2; 4.2</t>
        </is>
      </c>
    </row>
    <row r="8">
      <c r="A8" s="19" t="inlineStr">
        <is>
          <t>B. New-Build</t>
        </is>
      </c>
      <c r="B8" s="19" t="inlineStr">
        <is>
          <t>Visayas (Cebu and/or Panay)</t>
        </is>
      </c>
      <c r="C8" s="19" t="inlineStr">
        <is>
          <t>500 MW</t>
        </is>
      </c>
      <c r="D8" s="19" t="inlineStr">
        <is>
          <t>20 MW</t>
        </is>
      </c>
      <c r="E8" s="19" t="inlineStr">
        <is>
          <t>37%–42%</t>
        </is>
      </c>
      <c r="F8" s="19" t="inlineStr">
        <is>
          <t>2031</t>
        </is>
      </c>
      <c r="G8" s="19" t="inlineStr">
        <is>
          <t>20 yrs</t>
        </is>
      </c>
      <c r="H8" s="19" t="inlineStr">
        <is>
          <t>14 h</t>
        </is>
      </c>
      <c r="I8" s="19" t="inlineStr">
        <is>
          <t>TOR 1.1; 1.2.2; 4.2</t>
        </is>
      </c>
    </row>
    <row r="10" ht="32" customHeight="1">
      <c r="A10" s="2" t="inlineStr">
        <is>
          <t>How the TOR enters the models: capacity factor (Fin42 = 42%, top of band); Lot 1 non-mid-merit energy paid fuel only (TOR 4.2.2); grid (Visayas logistics caps); technology (TOR 2.6 lists CCGT, OCGT, reciprocating engines).</t>
        </is>
      </c>
    </row>
    <row r="11" ht="32" customHeight="1">
      <c r="A11" s="2" t="inlineStr">
        <is>
          <t>Not used for cost recovery: the TOR supply delivery period. Costs are recovered over 30 years (plant economic life, ERC basis).</t>
        </is>
      </c>
    </row>
  </sheetData>
  <mergeCells count="2">
    <mergeCell ref="A10:I10"/>
    <mergeCell ref="A11:I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6" customWidth="1" min="2" max="2"/>
    <col width="16" customWidth="1" min="3" max="3"/>
    <col width="16" customWidth="1" min="4" max="4"/>
    <col width="18" customWidth="1" min="5" max="5"/>
    <col width="16" customWidth="1" min="6" max="6"/>
  </cols>
  <sheetData>
    <row r="1">
      <c r="A1" s="18" t="inlineStr">
        <is>
          <t>Monthly capacity factor of the gas plants supplying Meralco</t>
        </is>
      </c>
    </row>
    <row r="2" ht="32" customHeight="1">
      <c r="A2" s="2" t="inlineStr">
        <is>
          <t>CF = kWh purchased by Meralco / (plant capacity x calendar hours). Source: Meralco "Breakdown of Generation Charge" tables, Jan 2024–Sep 2026 (xxxxxxx/*_gc_table.pdf). Santa Rita and San Lorenzo are First Gen plants.</t>
        </is>
      </c>
    </row>
    <row r="4">
      <c r="A4" s="5" t="inlineStr">
        <is>
          <t>Month</t>
        </is>
      </c>
      <c r="B4" s="5" t="inlineStr">
        <is>
          <t>Santa Rita (FGPC)
1,000 MW</t>
        </is>
      </c>
      <c r="C4" s="5" t="inlineStr">
        <is>
          <t>San Lorenzo (FGP)
500 MW</t>
        </is>
      </c>
      <c r="D4" s="5" t="inlineStr">
        <is>
          <t>Ilijan (SPPC)
1,200 MW</t>
        </is>
      </c>
      <c r="E4" s="5" t="inlineStr">
        <is>
          <t>EERI (Batangas CCGT)
1,200 MW</t>
        </is>
      </c>
      <c r="F4" s="5" t="inlineStr">
        <is>
          <t>San Gabriel (FNPC)
414 MW</t>
        </is>
      </c>
    </row>
    <row r="5">
      <c r="A5" s="64" t="inlineStr">
        <is>
          <t>2024-01</t>
        </is>
      </c>
      <c r="B5" s="65" t="n">
        <v>0.8249247325268818</v>
      </c>
      <c r="C5" s="65" t="n">
        <v>0.8064510268817204</v>
      </c>
      <c r="D5" s="65" t="n">
        <v>0.6934282930107527</v>
      </c>
      <c r="E5" s="65" t="n"/>
      <c r="F5" s="65" t="n">
        <v>0.6291175848007896</v>
      </c>
    </row>
    <row r="6">
      <c r="A6" s="64" t="inlineStr">
        <is>
          <t>2024-02</t>
        </is>
      </c>
      <c r="B6" s="65" t="n">
        <v>0.7524266566091954</v>
      </c>
      <c r="C6" s="65" t="n">
        <v>0.7363509913793103</v>
      </c>
      <c r="D6" s="65" t="n">
        <v>0.7741367337164751</v>
      </c>
      <c r="E6" s="65" t="n"/>
      <c r="F6" s="65" t="n">
        <v>0.6533885279582431</v>
      </c>
    </row>
    <row r="7">
      <c r="A7" s="64" t="inlineStr">
        <is>
          <t>2024-03</t>
        </is>
      </c>
      <c r="B7" s="65" t="n">
        <v>0.7083404731182796</v>
      </c>
      <c r="C7" s="65" t="n">
        <v>0.5075786021505376</v>
      </c>
      <c r="D7" s="65" t="n">
        <v>0.6034468548387096</v>
      </c>
      <c r="E7" s="65" t="n"/>
      <c r="F7" s="65" t="n">
        <v>0.5203402972572853</v>
      </c>
    </row>
    <row r="8">
      <c r="A8" s="64" t="inlineStr">
        <is>
          <t>2024-04</t>
        </is>
      </c>
      <c r="B8" s="65" t="n">
        <v>0.6939846930555555</v>
      </c>
      <c r="C8" s="65" t="n">
        <v>0.7620926527777777</v>
      </c>
      <c r="D8" s="65" t="n">
        <v>0.5880307407407407</v>
      </c>
      <c r="E8" s="65" t="n"/>
      <c r="F8" s="65" t="n">
        <v>0.008582742887815352</v>
      </c>
    </row>
    <row r="9">
      <c r="A9" s="64" t="inlineStr">
        <is>
          <t>2024-05</t>
        </is>
      </c>
      <c r="B9" s="65" t="n">
        <v>0.8183485564516129</v>
      </c>
      <c r="C9" s="65" t="n">
        <v>0.9895598924731184</v>
      </c>
      <c r="D9" s="65" t="n">
        <v>0.6542032885304659</v>
      </c>
      <c r="E9" s="65" t="n"/>
      <c r="F9" s="65" t="n"/>
    </row>
    <row r="10">
      <c r="A10" s="64" t="inlineStr">
        <is>
          <t>2024-06</t>
        </is>
      </c>
      <c r="B10" s="65" t="n">
        <v>0.8588074625000001</v>
      </c>
      <c r="C10" s="65" t="n">
        <v>1.003024613888889</v>
      </c>
      <c r="D10" s="65" t="n">
        <v>0.8717203379629629</v>
      </c>
      <c r="E10" s="65" t="n"/>
      <c r="F10" s="65" t="n"/>
    </row>
    <row r="11">
      <c r="A11" s="64" t="inlineStr">
        <is>
          <t>2024-07</t>
        </is>
      </c>
      <c r="B11" s="65" t="n">
        <v>0.7714141599462365</v>
      </c>
      <c r="C11" s="65" t="n">
        <v>0.6900661344086022</v>
      </c>
      <c r="D11" s="65" t="n">
        <v>0.729548607750896</v>
      </c>
      <c r="E11" s="65" t="n"/>
      <c r="F11" s="65" t="n"/>
    </row>
    <row r="12">
      <c r="A12" s="64" t="inlineStr">
        <is>
          <t>2024-08</t>
        </is>
      </c>
      <c r="B12" s="65" t="n">
        <v>0.7252305403225806</v>
      </c>
      <c r="C12" s="65" t="n">
        <v>0.7572308467741935</v>
      </c>
      <c r="D12" s="65" t="n">
        <v>0.754099211469534</v>
      </c>
      <c r="E12" s="65" t="n"/>
      <c r="F12" s="65" t="n"/>
    </row>
    <row r="13">
      <c r="A13" s="64" t="inlineStr">
        <is>
          <t>2024-09</t>
        </is>
      </c>
      <c r="B13" s="65" t="n">
        <v>0.5162772319444444</v>
      </c>
      <c r="C13" s="65" t="n">
        <v>0.804378736111111</v>
      </c>
      <c r="D13" s="65" t="n">
        <v>0.816862295138889</v>
      </c>
      <c r="E13" s="65" t="n"/>
      <c r="F13" s="65" t="n"/>
    </row>
    <row r="14">
      <c r="A14" s="64" t="inlineStr">
        <is>
          <t>2024-10</t>
        </is>
      </c>
      <c r="B14" s="65" t="n">
        <v>0.495830125</v>
      </c>
      <c r="C14" s="65" t="n">
        <v>0.6862329569892474</v>
      </c>
      <c r="D14" s="65" t="n">
        <v>0.7350701993727599</v>
      </c>
      <c r="E14" s="65" t="n"/>
      <c r="F14" s="65" t="n"/>
    </row>
    <row r="15">
      <c r="A15" s="64" t="inlineStr">
        <is>
          <t>2024-11</t>
        </is>
      </c>
      <c r="B15" s="65" t="n">
        <v>0.4489963930555556</v>
      </c>
      <c r="C15" s="65" t="n">
        <v>0.6572768361111111</v>
      </c>
      <c r="D15" s="65" t="n">
        <v>0.6842788784722222</v>
      </c>
      <c r="E15" s="65" t="n"/>
      <c r="F15" s="65" t="n"/>
    </row>
    <row r="16">
      <c r="A16" s="64" t="inlineStr">
        <is>
          <t>2024-12</t>
        </is>
      </c>
      <c r="B16" s="65" t="n">
        <v>0.5552994327956989</v>
      </c>
      <c r="C16" s="65" t="n">
        <v>0.7334007930107526</v>
      </c>
      <c r="D16" s="65" t="n">
        <v>0.6539660461469534</v>
      </c>
      <c r="E16" s="65" t="n"/>
      <c r="F16" s="65" t="n"/>
    </row>
    <row r="17">
      <c r="A17" s="64" t="inlineStr">
        <is>
          <t>2025-01</t>
        </is>
      </c>
      <c r="B17" s="65" t="n">
        <v>0.6466486774193548</v>
      </c>
      <c r="C17" s="65" t="n">
        <v>0.6211733897849462</v>
      </c>
      <c r="D17" s="65" t="n">
        <v>0.4931407672491039</v>
      </c>
      <c r="E17" s="65" t="n"/>
      <c r="F17" s="65" t="n"/>
    </row>
    <row r="18">
      <c r="A18" s="64" t="inlineStr">
        <is>
          <t>2025-02</t>
        </is>
      </c>
      <c r="B18" s="65" t="n">
        <v>0.6950886800595238</v>
      </c>
      <c r="C18" s="65" t="n">
        <v>0.8032270059523808</v>
      </c>
      <c r="D18" s="65" t="n">
        <v>0.5255048958333333</v>
      </c>
      <c r="E18" s="65" t="n">
        <v>0.3264111408730159</v>
      </c>
      <c r="F18" s="65" t="n"/>
    </row>
    <row r="19">
      <c r="A19" s="64" t="inlineStr">
        <is>
          <t>2025-03</t>
        </is>
      </c>
      <c r="B19" s="65" t="n">
        <v>0.7043201451612904</v>
      </c>
      <c r="C19" s="65" t="n">
        <v>0.7242651639784946</v>
      </c>
      <c r="D19" s="65" t="n">
        <v>0.3855401993727599</v>
      </c>
      <c r="E19" s="65" t="n">
        <v>0.4682781978046595</v>
      </c>
      <c r="F19" s="65" t="n"/>
    </row>
    <row r="20">
      <c r="A20" s="64" t="inlineStr">
        <is>
          <t>2025-04</t>
        </is>
      </c>
      <c r="B20" s="65" t="n">
        <v>0.8030816472222222</v>
      </c>
      <c r="C20" s="65" t="n">
        <v>0.5113471972222222</v>
      </c>
      <c r="D20" s="65" t="n">
        <v>0.6580150509259258</v>
      </c>
      <c r="E20" s="65" t="n">
        <v>0.2812489907407407</v>
      </c>
      <c r="F20" s="65" t="n"/>
    </row>
    <row r="21">
      <c r="A21" s="64" t="inlineStr">
        <is>
          <t>2025-05</t>
        </is>
      </c>
      <c r="B21" s="65" t="n">
        <v>0.8257072352150537</v>
      </c>
      <c r="C21" s="65" t="n">
        <v>0.6889530107526881</v>
      </c>
      <c r="D21" s="65" t="n">
        <v>0.7874707941308244</v>
      </c>
      <c r="E21" s="65" t="n">
        <v>0.2994636111111111</v>
      </c>
      <c r="F21" s="65" t="n"/>
    </row>
    <row r="22">
      <c r="A22" s="64" t="inlineStr">
        <is>
          <t>2025-06</t>
        </is>
      </c>
      <c r="B22" s="65" t="n">
        <v>0.8322731250000001</v>
      </c>
      <c r="C22" s="65" t="n">
        <v>0.8721603527777778</v>
      </c>
      <c r="D22" s="65" t="n">
        <v>0.7651921388888889</v>
      </c>
      <c r="E22" s="65" t="n">
        <v>0.4364089363425926</v>
      </c>
      <c r="F22" s="65" t="n"/>
    </row>
    <row r="23">
      <c r="A23" s="64" t="inlineStr">
        <is>
          <t>2025-07</t>
        </is>
      </c>
      <c r="B23" s="65" t="n">
        <v>0.8194029556451613</v>
      </c>
      <c r="C23" s="65" t="n">
        <v>0.8318149032258064</v>
      </c>
      <c r="D23" s="65" t="n">
        <v>0.7136755712365592</v>
      </c>
      <c r="E23" s="65" t="n">
        <v>0.5291183960573477</v>
      </c>
      <c r="F23" s="65" t="n"/>
    </row>
    <row r="24">
      <c r="A24" s="64" t="inlineStr">
        <is>
          <t>2025-08</t>
        </is>
      </c>
      <c r="B24" s="65" t="n">
        <v>0.6871939650537634</v>
      </c>
      <c r="C24" s="65" t="n">
        <v>0.6899811962365592</v>
      </c>
      <c r="D24" s="65" t="n">
        <v>0.6983752945788531</v>
      </c>
      <c r="E24" s="65" t="n">
        <v>0.7052546337365592</v>
      </c>
      <c r="F24" s="65" t="n"/>
    </row>
    <row r="25">
      <c r="A25" s="64" t="inlineStr">
        <is>
          <t>2025-09</t>
        </is>
      </c>
      <c r="B25" s="65" t="n">
        <v>0.8738243180555555</v>
      </c>
      <c r="C25" s="65" t="n">
        <v>0.8766244333333333</v>
      </c>
      <c r="D25" s="65" t="n">
        <v>0.7353498379629629</v>
      </c>
      <c r="E25" s="65" t="n">
        <v>0.7557529050925926</v>
      </c>
      <c r="F25" s="65" t="n"/>
    </row>
    <row r="26">
      <c r="A26" s="64" t="inlineStr">
        <is>
          <t>2025-10</t>
        </is>
      </c>
      <c r="B26" s="65" t="n">
        <v>0.5316588427419355</v>
      </c>
      <c r="C26" s="65" t="n">
        <v>0.6753871397849462</v>
      </c>
      <c r="D26" s="65" t="n">
        <v>0.5756677755376344</v>
      </c>
      <c r="E26" s="65" t="n">
        <v>0.6549597771057348</v>
      </c>
      <c r="F26" s="65" t="n"/>
    </row>
    <row r="27">
      <c r="A27" s="64" t="inlineStr">
        <is>
          <t>2025-11</t>
        </is>
      </c>
      <c r="B27" s="65" t="n">
        <v>0.4943575555555556</v>
      </c>
      <c r="C27" s="65" t="n">
        <v>0.6864566972222222</v>
      </c>
      <c r="D27" s="65" t="n">
        <v>0.6729795972222222</v>
      </c>
      <c r="E27" s="65" t="n">
        <v>0.6437740277777778</v>
      </c>
      <c r="F27" s="65" t="n"/>
    </row>
    <row r="28">
      <c r="A28" s="64" t="inlineStr">
        <is>
          <t>2025-12</t>
        </is>
      </c>
      <c r="B28" s="65" t="n">
        <v>0.4912166384408602</v>
      </c>
      <c r="C28" s="65" t="n">
        <v>0.7433352795698924</v>
      </c>
      <c r="D28" s="65" t="n">
        <v>0.7373508613351255</v>
      </c>
      <c r="E28" s="65" t="n">
        <v>0.6968377072132615</v>
      </c>
      <c r="F28" s="65" t="n"/>
    </row>
    <row r="29">
      <c r="A29" s="64" t="inlineStr">
        <is>
          <t>2026-01</t>
        </is>
      </c>
      <c r="B29" s="65" t="n">
        <v>0.4774500551075269</v>
      </c>
      <c r="C29" s="65" t="n">
        <v>0.6929112365591398</v>
      </c>
      <c r="D29" s="65" t="n">
        <v>0.6010515692204301</v>
      </c>
      <c r="E29" s="65" t="n">
        <v>0.4571908624551971</v>
      </c>
      <c r="F29" s="65" t="n"/>
    </row>
    <row r="30">
      <c r="A30" s="64" t="inlineStr">
        <is>
          <t>2026-02</t>
        </is>
      </c>
      <c r="B30" s="65" t="n">
        <v>0.7011783050595238</v>
      </c>
      <c r="C30" s="65" t="n">
        <v>0.5254574166666667</v>
      </c>
      <c r="D30" s="65" t="n">
        <v>0.4452992162698413</v>
      </c>
      <c r="E30" s="65" t="n">
        <v>0.1977584188988095</v>
      </c>
      <c r="F30" s="65" t="n"/>
    </row>
    <row r="31">
      <c r="A31" s="64" t="inlineStr">
        <is>
          <t>2026-03</t>
        </is>
      </c>
      <c r="B31" s="65" t="n">
        <v>0.6069991801075268</v>
      </c>
      <c r="C31" s="65" t="n">
        <v>0.3503256370967742</v>
      </c>
      <c r="D31" s="65" t="n">
        <v>0.7200709240591397</v>
      </c>
      <c r="E31" s="65" t="n">
        <v>0.4112962903225806</v>
      </c>
      <c r="F31" s="65" t="n"/>
    </row>
    <row r="32">
      <c r="A32" s="64" t="inlineStr">
        <is>
          <t>2026-04</t>
        </is>
      </c>
      <c r="B32" s="65" t="n">
        <v>0.5826760194444445</v>
      </c>
      <c r="C32" s="65" t="n">
        <v>0.3115862611111111</v>
      </c>
      <c r="D32" s="65" t="n">
        <v>0.6270540833333333</v>
      </c>
      <c r="E32" s="65" t="n">
        <v>0.4167965277777778</v>
      </c>
      <c r="F32" s="65" t="n"/>
    </row>
    <row r="33">
      <c r="A33" s="64" t="inlineStr">
        <is>
          <t>2026-05</t>
        </is>
      </c>
      <c r="B33" s="65" t="n">
        <v>0.6254726263440861</v>
      </c>
      <c r="C33" s="65" t="n">
        <v>0.499961002688172</v>
      </c>
      <c r="D33" s="65" t="n">
        <v>0.5939667697132617</v>
      </c>
      <c r="E33" s="65" t="n">
        <v>0.4783284610215054</v>
      </c>
      <c r="F33" s="65" t="n"/>
    </row>
    <row r="34">
      <c r="A34" s="64" t="inlineStr">
        <is>
          <t>2026-06</t>
        </is>
      </c>
      <c r="B34" s="65" t="n">
        <v>0.6439902750000001</v>
      </c>
      <c r="C34" s="65" t="n">
        <v>0.8246677083333334</v>
      </c>
      <c r="D34" s="65" t="n">
        <v>0.5944195925925926</v>
      </c>
      <c r="E34" s="65" t="n">
        <v>0.5414878541666667</v>
      </c>
      <c r="F34" s="65" t="n"/>
    </row>
    <row r="35">
      <c r="A35" s="64" t="inlineStr">
        <is>
          <t>2026-07</t>
        </is>
      </c>
      <c r="B35" s="65" t="n">
        <v>0.6384171639784946</v>
      </c>
      <c r="C35" s="65" t="n">
        <v>0.8185093548387097</v>
      </c>
      <c r="D35" s="65" t="n">
        <v>0.605019982078853</v>
      </c>
      <c r="E35" s="65" t="n">
        <v>0.550223710797491</v>
      </c>
      <c r="F35" s="65" t="n"/>
    </row>
    <row r="36">
      <c r="A36" s="64" t="inlineStr">
        <is>
          <t>2026-08</t>
        </is>
      </c>
      <c r="B36" s="65" t="n">
        <v>0.5883290524193548</v>
      </c>
      <c r="C36" s="65" t="n">
        <v>0.7810115618279569</v>
      </c>
      <c r="D36" s="65" t="n">
        <v>0.5163016252240143</v>
      </c>
      <c r="E36" s="65" t="n">
        <v>0.5240360931899641</v>
      </c>
      <c r="F36" s="65" t="n"/>
    </row>
    <row r="37">
      <c r="A37" s="64" t="inlineStr">
        <is>
          <t>2026-09</t>
        </is>
      </c>
      <c r="B37" s="65" t="n">
        <v>0.5897080138888889</v>
      </c>
      <c r="C37" s="65" t="n">
        <v>0.7861521305555556</v>
      </c>
      <c r="D37" s="65" t="n">
        <v>0.4575007638888889</v>
      </c>
      <c r="E37" s="65" t="n">
        <v>0.4716352893518519</v>
      </c>
      <c r="F37" s="65" t="n"/>
    </row>
    <row r="39">
      <c r="A39" s="32" t="inlineStr">
        <is>
          <t>Santa Rita (First Gen)</t>
        </is>
      </c>
      <c r="E39" s="66" t="n">
        <v>0.6671947131059097</v>
      </c>
    </row>
    <row r="40">
      <c r="A40" s="32" t="inlineStr">
        <is>
          <t>San Lorenzo (First Gen)</t>
        </is>
      </c>
      <c r="E40" s="66" t="n">
        <v>0.7105209105245683</v>
      </c>
    </row>
    <row r="41">
      <c r="A41" s="32" t="inlineStr">
        <is>
          <t>Ilijan (SPPC)</t>
        </is>
      </c>
      <c r="E41" s="66" t="n">
        <v>0.6509639577799912</v>
      </c>
    </row>
    <row r="42">
      <c r="A42" s="32" t="inlineStr">
        <is>
          <t>EERI (from Feb 2025)</t>
        </is>
      </c>
      <c r="E42" s="66" t="n">
        <v>0.4944225759083836</v>
      </c>
    </row>
    <row r="43">
      <c r="A43" s="32" t="inlineStr">
        <is>
          <t>Existing fleet (Santa Rita + San Lorenzo + Ilijan) → Fin90 Lots 1–2</t>
        </is>
      </c>
      <c r="E43" s="66" t="n">
        <v>0.6680044139645122</v>
      </c>
    </row>
    <row r="44">
      <c r="A44" s="32" t="inlineStr">
        <is>
          <t>Whole fleet incl. EERI → Fin90 new-build</t>
        </is>
      </c>
      <c r="E44" s="66" t="n">
        <v>0.6312409193029385</v>
      </c>
    </row>
  </sheetData>
  <mergeCells count="7">
    <mergeCell ref="A2:F2"/>
    <mergeCell ref="A40:D40"/>
    <mergeCell ref="A39:D39"/>
    <mergeCell ref="A43:D43"/>
    <mergeCell ref="A41:D41"/>
    <mergeCell ref="A42:D42"/>
    <mergeCell ref="A44:D4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55" customWidth="1" min="1" max="1"/>
    <col width="60" customWidth="1" min="2" max="2"/>
    <col width="60" customWidth="1" min="3" max="3"/>
  </cols>
  <sheetData>
    <row r="1">
      <c r="A1" s="18" t="inlineStr">
        <is>
          <t>Reference for every assumption</t>
        </is>
      </c>
    </row>
    <row r="3">
      <c r="A3" s="67" t="inlineStr">
        <is>
          <t>Assumption</t>
        </is>
      </c>
      <c r="B3" s="67" t="inlineStr">
        <is>
          <t>Source</t>
        </is>
      </c>
      <c r="C3" s="67" t="inlineStr">
        <is>
          <t>File / location</t>
        </is>
      </c>
    </row>
    <row r="4">
      <c r="A4" s="19" t="inlineStr">
        <is>
          <t>Lots, capacity factor bands, delivery year, supply period</t>
        </is>
      </c>
      <c r="B4" s="19" t="inlineStr">
        <is>
          <t>DOE Terms of Reference (Annex B), Sec. 1.1, 1.2, 4.2, 18.3</t>
        </is>
      </c>
      <c r="C4" s="19" t="inlineStr">
        <is>
          <t>GAIR RCM/Terms of Reference/Annex B - Terms of Reference.pdf</t>
        </is>
      </c>
    </row>
    <row r="5">
      <c r="A5" s="19" t="inlineStr">
        <is>
          <t>30-year cost recovery; zero construction for existing plants</t>
        </is>
      </c>
      <c r="B5" s="19" t="inlineStr">
        <is>
          <t>ERC basis (plant economic life); instruction of 20 Oct 2026; GAIR Table 1</t>
        </is>
      </c>
      <c r="C5" s="19" t="inlineStr">
        <is>
          <t>franz_som_working draft_1.docx</t>
        </is>
      </c>
    </row>
    <row r="6">
      <c r="A6" s="19" t="inlineStr">
        <is>
          <t>Historical capacity factor (Fin90)</t>
        </is>
      </c>
      <c r="B6" s="19" t="inlineStr">
        <is>
          <t>Meralco Breakdown of Generation Charge, Jan 2024–Sep 2026 (First Gen Santa Rita, San Lorenzo; SPPC Ilijan; EERI)</t>
        </is>
      </c>
      <c r="C6" s="19" t="inlineStr">
        <is>
          <t>xxxxxxx/*_gc_table.pdf</t>
        </is>
      </c>
    </row>
    <row r="7">
      <c r="A7" s="19" t="inlineStr">
        <is>
          <t>Capital cost, fixed and variable O&amp;M, heat rate, construction, unit size</t>
        </is>
      </c>
      <c r="B7" s="19" t="inlineStr">
        <is>
          <t>Draft Resolution 2 values (DOE/EPC 2026 benchmarks, LTSA, cheat sheet)</t>
        </is>
      </c>
      <c r="C7" s="19" t="inlineStr">
        <is>
          <t>claudenumbers/01_master_numbers_cheat_sheet.md; whisper/scripts/cases.py</t>
        </is>
      </c>
    </row>
    <row r="8">
      <c r="A8" s="19" t="inlineStr">
        <is>
          <t>Lazard comparison (CCGT capex, O&amp;M, heat rate)</t>
        </is>
      </c>
      <c r="B8" s="19" t="inlineStr">
        <is>
          <t>Lazard LCOE v19 (June 2026) as cited in the GAIR workbook</t>
        </is>
      </c>
      <c r="C8" s="19" t="inlineStr">
        <is>
          <t>mid_merit_gas_rates.xlsx, O&amp;M Rebasing tab</t>
        </is>
      </c>
    </row>
    <row r="9">
      <c r="A9" s="19" t="inlineStr">
        <is>
          <t>First Gen historical O&amp;M (Santa Rita / San Lorenzo 1996 PPA, re-based May 2026)</t>
        </is>
      </c>
      <c r="B9" s="19" t="inlineStr">
        <is>
          <t>ERC Case No. 2004-74 PPA rates, CPI re-basing</t>
        </is>
      </c>
      <c r="C9" s="19" t="inlineStr">
        <is>
          <t>mid_merit_gas_rates.xlsx, O&amp;M Rebasing tab</t>
        </is>
      </c>
    </row>
    <row r="10">
      <c r="A10" s="19" t="inlineStr">
        <is>
          <t>Existing-plant capital cost US$450/kW; brownfield US$600/kW (San Gabriel, EERI)</t>
        </is>
      </c>
      <c r="B10" s="19" t="inlineStr">
        <is>
          <t>GAIR workbook / cheat sheet</t>
        </is>
      </c>
      <c r="C10" s="19" t="inlineStr">
        <is>
          <t>mid_merit_gas_rates.xlsx; cheat sheet</t>
        </is>
      </c>
    </row>
    <row r="11">
      <c r="A11" s="19" t="inlineStr">
        <is>
          <t>Financing: 70:30, Kd 8%, 15-yr tenor, Re 14%</t>
        </is>
      </c>
      <c r="B11" s="19" t="inlineStr">
        <is>
          <t>Draft Resolution 2 (Annex A.9–A.12)</t>
        </is>
      </c>
      <c r="C11" s="19" t="inlineStr">
        <is>
          <t>cheat sheet; whisper/scripts/engine.py</t>
        </is>
      </c>
    </row>
    <row r="12">
      <c r="A12" s="19" t="inlineStr">
        <is>
          <t>Logistics caps (CLLC)</t>
        </is>
      </c>
      <c r="B12" s="19" t="inlineStr">
        <is>
          <t>Draft Resolution 2 caps; BOG removed per working Rules Sec. 17</t>
        </is>
      </c>
      <c r="C12" s="19" t="inlineStr">
        <is>
          <t>cases.py; franz_som_working draft_1.docx</t>
        </is>
      </c>
    </row>
    <row r="13">
      <c r="A13" s="19" t="inlineStr">
        <is>
          <t>PhP/US$ 62.756</t>
        </is>
      </c>
      <c r="B13" s="19" t="inlineStr">
        <is>
          <t>BSP reference rate, 25 Sep 2026</t>
        </is>
      </c>
      <c r="C13" s="19" t="inlineStr">
        <is>
          <t>whisper/scripts/cases.py</t>
        </is>
      </c>
    </row>
    <row r="14">
      <c r="A14" s="19" t="inlineStr">
        <is>
          <t>Taxes (CIT 25%, VAT 12%, RPT 2%, LBT 1%, WHT, GRT, DST)</t>
        </is>
      </c>
      <c r="B14" s="19" t="inlineStr">
        <is>
          <t>CREATE Act (RA 11534), NIRC, LGC — model defaults</t>
        </is>
      </c>
      <c r="C14" s="19" t="inlineStr">
        <is>
          <t>whisper/ERC Mid-Merit Financial Model.xlsm (Sensitivity Analysis)</t>
        </is>
      </c>
    </row>
    <row r="15">
      <c r="A15" s="19" t="inlineStr">
        <is>
          <t>ER 1-94 PhP 0.03/kWh</t>
        </is>
      </c>
      <c r="B15" s="19" t="inlineStr">
        <is>
          <t>DOE DC2025-10-0023; GAIR 8.8.3</t>
        </is>
      </c>
      <c r="C15" s="19" t="inlineStr">
        <is>
          <t>naruto C90</t>
        </is>
      </c>
    </row>
    <row r="16">
      <c r="A16" s="19" t="inlineStr">
        <is>
          <t>Model template</t>
        </is>
      </c>
      <c r="B16" s="19" t="inlineStr">
        <is>
          <t>naruto.xlsm (blank ERC Mid-Merit Financial Model)</t>
        </is>
      </c>
      <c r="C16" s="19" t="inlineStr">
        <is>
          <t>GAIR RCM/whisper/naruto.xlsm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2026-10-19T22:49:47Z</dcterms:created>
  <dcterms:modified xmlns:dcterms="http://purl.org/dc/terms/" xmlns:xsi="http://www.w3.org/2001/XMLSchema-instance" xsi:type="dcterms:W3CDTF">2026-10-19T23:56:47Z</dcterms:modified>
</cp:coreProperties>
</file>