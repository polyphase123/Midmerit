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ATP_Summary" sheetId="2" state="visible" r:id="rId2"/>
    <sheet xmlns:r="http://schemas.openxmlformats.org/officeDocument/2006/relationships" name="GATP_Composition" sheetId="3" state="visible" r:id="rId3"/>
    <sheet xmlns:r="http://schemas.openxmlformats.org/officeDocument/2006/relationships" name="Rates" sheetId="4" state="visible" r:id="rId4"/>
    <sheet xmlns:r="http://schemas.openxmlformats.org/officeDocument/2006/relationships" name="README" sheetId="5" state="visible" r:id="rId5"/>
    <sheet xmlns:r="http://schemas.openxmlformats.org/officeDocument/2006/relationships" name="Parameters" sheetId="6" state="visible" r:id="rId6"/>
    <sheet xmlns:r="http://schemas.openxmlformats.org/officeDocument/2006/relationships" name="TOR_Conditions" sheetId="7" state="visible" r:id="rId7"/>
    <sheet xmlns:r="http://schemas.openxmlformats.org/officeDocument/2006/relationships" name="Historical_CF" sheetId="8" state="visible" r:id="rId8"/>
    <sheet xmlns:r="http://schemas.openxmlformats.org/officeDocument/2006/relationships" name="References" sheetId="9" state="visible" r:id="rId9"/>
  </sheets>
  <definedNames>
    <definedName name="_xlnm._FilterDatabase" localSheetId="5" hidden="1">'Parameters'!$A$9:$AB$164</definedName>
  </definedNames>
  <calcPr calcId="124519" fullCalcOnLoad="1"/>
</workbook>
</file>

<file path=xl/styles.xml><?xml version="1.0" encoding="utf-8"?>
<styleSheet xmlns="http://schemas.openxmlformats.org/spreadsheetml/2006/main">
  <numFmts count="7">
    <numFmt numFmtId="164" formatCode="0.0%"/>
    <numFmt numFmtId="165" formatCode="0.0000"/>
    <numFmt numFmtId="166" formatCode="+0.0000;-0.0000"/>
    <numFmt numFmtId="167" formatCode="0.000"/>
    <numFmt numFmtId="168" formatCode="#,##0.0"/>
    <numFmt numFmtId="169" formatCode="0.00000"/>
    <numFmt numFmtId="170" formatCode="0.0"/>
  </numFmts>
  <fonts count="51">
    <font>
      <name val="Calibri"/>
      <family val="2"/>
      <color theme="1"/>
      <sz val="11"/>
      <scheme val="minor"/>
    </font>
    <font>
      <b val="1"/>
      <color rgb="001F3864"/>
      <sz val="15"/>
    </font>
    <font>
      <b val="1"/>
      <color rgb="001F3864"/>
      <sz val="12"/>
    </font>
    <font>
      <b val="1"/>
      <color rgb="001F3864"/>
      <sz val="16"/>
    </font>
    <font>
      <b val="1"/>
      <color rgb="00FFFFFF"/>
      <sz val="12"/>
    </font>
    <font>
      <b val="1"/>
      <color rgb="00FFFFFF"/>
    </font>
    <font>
      <b val="1"/>
      <color rgb="001F3864"/>
    </font>
    <font>
      <b val="1"/>
      <color rgb="00375623"/>
      <sz val="12"/>
    </font>
    <font>
      <color rgb="00C55A11"/>
    </font>
    <font>
      <b val="1"/>
      <color rgb="001F3864"/>
      <sz val="14"/>
    </font>
    <font>
      <b val="1"/>
    </font>
    <font>
      <b val="1"/>
      <color rgb="001F4E79"/>
    </font>
    <font>
      <b val="1"/>
      <color rgb="00833C0B"/>
    </font>
    <font>
      <b val="1"/>
      <color rgb="00375623"/>
    </font>
    <font>
      <b val="1"/>
      <color rgb="00000000"/>
    </font>
    <font>
      <i val="1"/>
      <color rgb="00595959"/>
    </font>
    <font>
      <b val="1"/>
      <color rgb="001F3864"/>
      <sz val="9"/>
    </font>
    <font>
      <b val="1"/>
      <color rgb="00FFFFFF"/>
      <sz val="11"/>
    </font>
    <font>
      <color rgb="00808080"/>
      <sz val="9"/>
    </font>
    <font/>
    <font>
      <sz val="9"/>
    </font>
    <font>
      <color rgb="001F4E79"/>
    </font>
    <font>
      <color rgb="00000000"/>
    </font>
    <font>
      <color rgb="00375623"/>
    </font>
    <font>
      <color rgb="00833C0B"/>
    </font>
    <font>
      <name val="Calibri"/>
      <b val="1"/>
      <color rgb="00FFFFFF"/>
      <sz val="16"/>
    </font>
    <font>
      <name val="Calibri"/>
      <color rgb="00CFE3F2"/>
      <sz val="10"/>
    </font>
    <font>
      <name val="Calibri"/>
      <b val="1"/>
      <color rgb="0052514E"/>
      <sz val="11"/>
    </font>
    <font>
      <name val="Calibri"/>
      <b val="1"/>
      <color rgb="001E7B4F"/>
      <sz val="20"/>
    </font>
    <font>
      <name val="Calibri"/>
      <color rgb="0052514E"/>
      <sz val="9"/>
    </font>
    <font>
      <name val="Calibri"/>
      <b val="1"/>
      <color rgb="00FFFFFF"/>
      <sz val="9"/>
    </font>
    <font>
      <name val="Calibri"/>
      <i val="1"/>
      <color rgb="0052514E"/>
      <sz val="9"/>
    </font>
    <font>
      <name val="Calibri"/>
      <b val="1"/>
      <color rgb="001F3A5F"/>
      <sz val="12"/>
    </font>
    <font>
      <name val="Calibri"/>
      <color rgb="000B0B0B"/>
      <sz val="10"/>
    </font>
    <font>
      <name val="Calibri"/>
      <b val="1"/>
      <sz val="10"/>
    </font>
    <font>
      <name val="Calibri"/>
      <b val="1"/>
      <color rgb="001E7B4F"/>
      <sz val="11"/>
    </font>
    <font>
      <name val="Calibri"/>
      <b val="1"/>
      <color rgb="001E7B4F"/>
      <sz val="9"/>
    </font>
    <font>
      <name val="Calibri"/>
      <b val="1"/>
      <color rgb="001F3A5F"/>
    </font>
    <font>
      <name val="Calibri"/>
      <color rgb="0052514E"/>
      <sz val="10"/>
    </font>
    <font>
      <name val="Calibri"/>
      <b val="1"/>
      <color rgb="00FFFFFF"/>
    </font>
    <font>
      <name val="Calibri"/>
      <b val="1"/>
      <color rgb="000B0B0B"/>
      <sz val="10"/>
    </font>
    <font>
      <name val="Calibri"/>
      <sz val="10"/>
    </font>
    <font>
      <name val="Calibri"/>
      <b val="1"/>
      <color rgb="001E7B4F"/>
      <sz val="10"/>
    </font>
    <font>
      <name val="Calibri"/>
      <b val="1"/>
      <color rgb="001F3A5F"/>
      <sz val="11"/>
    </font>
    <font>
      <name val="Calibri"/>
      <b val="1"/>
      <color rgb="001F4FB4"/>
      <sz val="9"/>
    </font>
    <font>
      <name val="Calibri"/>
      <b val="1"/>
      <color rgb="00000000"/>
      <sz val="9"/>
    </font>
    <font>
      <name val="Calibri"/>
      <b val="1"/>
      <color rgb="00C0392B"/>
      <sz val="9"/>
    </font>
    <font>
      <name val="Calibri"/>
      <color rgb="000B0B0B"/>
      <sz val="9"/>
    </font>
    <font>
      <name val="Calibri"/>
      <sz val="9"/>
    </font>
    <font>
      <name val="Calibri"/>
      <b val="1"/>
      <sz val="9"/>
    </font>
    <font>
      <name val="Calibri"/>
      <color rgb="001E7B4F"/>
      <sz val="9"/>
    </font>
  </fonts>
  <fills count="26">
    <fill>
      <patternFill/>
    </fill>
    <fill>
      <patternFill patternType="gray125"/>
    </fill>
    <fill>
      <patternFill patternType="solid">
        <fgColor rgb="002F5597"/>
      </patternFill>
    </fill>
    <fill>
      <patternFill patternType="solid">
        <fgColor rgb="00548235"/>
      </patternFill>
    </fill>
    <fill>
      <patternFill patternType="solid">
        <fgColor rgb="001F3864"/>
      </patternFill>
    </fill>
    <fill>
      <patternFill patternType="solid">
        <fgColor rgb="00DDEBF7"/>
      </patternFill>
    </fill>
    <fill>
      <patternFill patternType="solid">
        <fgColor rgb="00E2EFDA"/>
      </patternFill>
    </fill>
    <fill>
      <patternFill patternType="solid">
        <fgColor rgb="00F2F2F2"/>
      </patternFill>
    </fill>
    <fill>
      <patternFill patternType="solid">
        <fgColor rgb="00D9E1F2"/>
      </patternFill>
    </fill>
    <fill>
      <patternFill patternType="solid">
        <fgColor rgb="00FFF2CC"/>
      </patternFill>
    </fill>
    <fill>
      <patternFill patternType="solid">
        <fgColor rgb="00F8CBAD"/>
      </patternFill>
    </fill>
    <fill>
      <patternFill patternType="solid">
        <fgColor rgb="001F3A5F"/>
        <bgColor rgb="001F3A5F"/>
      </patternFill>
    </fill>
    <fill>
      <patternFill patternType="solid">
        <fgColor rgb="00E3F2EA"/>
        <bgColor rgb="00E3F2EA"/>
      </patternFill>
    </fill>
    <fill>
      <patternFill patternType="solid">
        <fgColor rgb="001E7B4F"/>
        <bgColor rgb="001E7B4F"/>
      </patternFill>
    </fill>
    <fill>
      <patternFill patternType="solid">
        <fgColor rgb="002A7F8E"/>
        <bgColor rgb="002A7F8E"/>
      </patternFill>
    </fill>
    <fill>
      <patternFill patternType="solid">
        <fgColor rgb="00E6F0FB"/>
        <bgColor rgb="00E6F0FB"/>
      </patternFill>
    </fill>
    <fill>
      <patternFill patternType="solid">
        <fgColor rgb="00C9DDF5"/>
        <bgColor rgb="00C9DDF5"/>
      </patternFill>
    </fill>
    <fill>
      <patternFill patternType="solid">
        <fgColor rgb="00FDEDE5"/>
        <bgColor rgb="00FDEDE5"/>
      </patternFill>
    </fill>
    <fill>
      <patternFill patternType="solid">
        <fgColor rgb="00F9D2C0"/>
        <bgColor rgb="00F9D2C0"/>
      </patternFill>
    </fill>
    <fill>
      <patternFill patternType="solid">
        <fgColor rgb="00FDF1DC"/>
        <bgColor rgb="00FDF1DC"/>
      </patternFill>
    </fill>
    <fill>
      <patternFill patternType="solid">
        <fgColor rgb="00F2F4F7"/>
        <bgColor rgb="00F2F4F7"/>
      </patternFill>
    </fill>
    <fill>
      <patternFill patternType="solid">
        <fgColor rgb="00FFF2CC"/>
        <bgColor rgb="00FFF2CC"/>
      </patternFill>
    </fill>
    <fill>
      <patternFill patternType="solid">
        <fgColor rgb="00FFF6CC"/>
        <bgColor rgb="00FFF6CC"/>
      </patternFill>
    </fill>
    <fill>
      <patternFill patternType="solid">
        <fgColor rgb="00FBE3CF"/>
        <bgColor rgb="00FBE3CF"/>
      </patternFill>
    </fill>
    <fill>
      <patternFill patternType="solid">
        <fgColor rgb="00FFFFFF"/>
        <bgColor rgb="00FFFFFF"/>
      </patternFill>
    </fill>
    <fill>
      <patternFill patternType="solid">
        <fgColor rgb="00DCE6F0"/>
        <bgColor rgb="00DCE6F0"/>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color rgb="00D5D9DF"/>
      </left>
      <right style="thin">
        <color rgb="00D5D9DF"/>
      </right>
      <top style="thin">
        <color rgb="00D5D9DF"/>
      </top>
      <bottom style="thin">
        <color rgb="00D5D9DF"/>
      </bottom>
    </border>
    <border>
      <left style="medium">
        <color rgb="00C0392B"/>
      </left>
      <right style="medium">
        <color rgb="00C0392B"/>
      </right>
      <top style="medium">
        <color rgb="00C0392B"/>
      </top>
      <bottom style="medium">
        <color rgb="00C0392B"/>
      </bottom>
    </border>
  </borders>
  <cellStyleXfs count="1">
    <xf numFmtId="0" fontId="0" fillId="0" borderId="0"/>
  </cellStyleXfs>
  <cellXfs count="154">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0" pivotButton="0" quotePrefix="0" xfId="0"/>
    <xf numFmtId="0" fontId="0" fillId="5" borderId="0" pivotButton="0" quotePrefix="0" xfId="0"/>
    <xf numFmtId="0" fontId="0" fillId="0" borderId="1"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2" fontId="7" fillId="6" borderId="1" applyAlignment="1" pivotButton="0" quotePrefix="0" xfId="0">
      <alignment horizontal="center" vertical="center"/>
    </xf>
    <xf numFmtId="2" fontId="8" fillId="0" borderId="1" applyAlignment="1" pivotButton="0" quotePrefix="0" xfId="0">
      <alignment horizontal="center" vertical="center"/>
    </xf>
    <xf numFmtId="2" fontId="0" fillId="7" borderId="1" applyAlignment="1" pivotButton="0" quotePrefix="0" xfId="0">
      <alignment horizontal="center" vertical="center"/>
    </xf>
    <xf numFmtId="2" fontId="0" fillId="0" borderId="1" applyAlignment="1" pivotButton="0" quotePrefix="0" xfId="0">
      <alignment horizontal="center" vertical="center"/>
    </xf>
    <xf numFmtId="3" fontId="0" fillId="0" borderId="1" applyAlignment="1" pivotButton="0" quotePrefix="0" xfId="0">
      <alignment horizontal="center" vertical="center"/>
    </xf>
    <xf numFmtId="0" fontId="1" fillId="0" borderId="0" applyAlignment="1" pivotButton="0" quotePrefix="0" xfId="0">
      <alignment vertical="top" wrapText="1"/>
    </xf>
    <xf numFmtId="0" fontId="2" fillId="0" borderId="0" applyAlignment="1" pivotButton="0" quotePrefix="0" xfId="0">
      <alignment vertical="top" wrapText="1"/>
    </xf>
    <xf numFmtId="0" fontId="9" fillId="0" borderId="0" pivotButton="0" quotePrefix="0" xfId="0"/>
    <xf numFmtId="0" fontId="0" fillId="0" borderId="1" applyAlignment="1" pivotButton="0" quotePrefix="0" xfId="0">
      <alignment vertical="top" wrapText="1"/>
    </xf>
    <xf numFmtId="164" fontId="0" fillId="0" borderId="1" applyAlignment="1" pivotButton="0" quotePrefix="0" xfId="0">
      <alignment vertical="top" wrapText="1"/>
    </xf>
    <xf numFmtId="165" fontId="10" fillId="6" borderId="1" applyAlignment="1" pivotButton="0" quotePrefix="0" xfId="0">
      <alignment vertical="top" wrapText="1"/>
    </xf>
    <xf numFmtId="166" fontId="0" fillId="0" borderId="1" applyAlignment="1" pivotButton="0" quotePrefix="0" xfId="0">
      <alignment vertical="top" wrapText="1"/>
    </xf>
    <xf numFmtId="0" fontId="2" fillId="0" borderId="0" pivotButton="0" quotePrefix="0" xfId="0"/>
    <xf numFmtId="0" fontId="0" fillId="8" borderId="1" pivotButton="0" quotePrefix="0" xfId="0"/>
    <xf numFmtId="165" fontId="0" fillId="8" borderId="1" pivotButton="0" quotePrefix="0" xfId="0"/>
    <xf numFmtId="165" fontId="10" fillId="8" borderId="1" pivotButton="0" quotePrefix="0" xfId="0"/>
    <xf numFmtId="164" fontId="0" fillId="8" borderId="1" pivotButton="0" quotePrefix="0" xfId="0"/>
    <xf numFmtId="0" fontId="0" fillId="6" borderId="1" pivotButton="0" quotePrefix="0" xfId="0"/>
    <xf numFmtId="165" fontId="0" fillId="6" borderId="1" pivotButton="0" quotePrefix="0" xfId="0"/>
    <xf numFmtId="165" fontId="10" fillId="6" borderId="1" pivotButton="0" quotePrefix="0" xfId="0"/>
    <xf numFmtId="164" fontId="0" fillId="6" borderId="1" pivotButton="0" quotePrefix="0" xfId="0"/>
    <xf numFmtId="0" fontId="10" fillId="0" borderId="0" pivotButton="0" quotePrefix="0" xfId="0"/>
    <xf numFmtId="0" fontId="11"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0" borderId="0" pivotButton="0" quotePrefix="0" xfId="0"/>
    <xf numFmtId="0" fontId="0" fillId="0" borderId="4" pivotButton="0" quotePrefix="0" xfId="0"/>
    <xf numFmtId="0" fontId="16" fillId="8" borderId="1" applyAlignment="1" pivotButton="0" quotePrefix="0" xfId="0">
      <alignment horizontal="center" vertical="center" wrapText="1"/>
    </xf>
    <xf numFmtId="0" fontId="16" fillId="6" borderId="1" applyAlignment="1" pivotButton="0" quotePrefix="0" xfId="0">
      <alignment horizontal="center" vertical="center" wrapText="1"/>
    </xf>
    <xf numFmtId="0" fontId="17" fillId="4" borderId="0" pivotButton="0" quotePrefix="0" xfId="0"/>
    <xf numFmtId="0" fontId="0" fillId="4" borderId="0" pivotButton="0" quotePrefix="0" xfId="0"/>
    <xf numFmtId="0" fontId="18" fillId="0" borderId="1" applyAlignment="1" pivotButton="0" quotePrefix="0" xfId="0">
      <alignment vertical="center" wrapText="1"/>
    </xf>
    <xf numFmtId="0" fontId="19" fillId="0" borderId="1" applyAlignment="1" pivotButton="0" quotePrefix="0" xfId="0">
      <alignment vertical="center" wrapText="1"/>
    </xf>
    <xf numFmtId="0" fontId="0" fillId="0" borderId="1" applyAlignment="1" pivotButton="0" quotePrefix="0" xfId="0">
      <alignment horizontal="center" vertical="center" wrapText="1"/>
    </xf>
    <xf numFmtId="0" fontId="20" fillId="0" borderId="1" applyAlignment="1" pivotButton="0" quotePrefix="0" xfId="0">
      <alignment vertical="center" wrapText="1"/>
    </xf>
    <xf numFmtId="2" fontId="21" fillId="9" borderId="1" applyAlignment="1" pivotButton="0" quotePrefix="0" xfId="0">
      <alignment horizontal="center" vertical="center" wrapText="1"/>
    </xf>
    <xf numFmtId="0" fontId="21" fillId="9" borderId="1" applyAlignment="1" pivotButton="0" quotePrefix="0" xfId="0">
      <alignment horizontal="center" vertical="center" wrapText="1"/>
    </xf>
    <xf numFmtId="3" fontId="22" fillId="7" borderId="1" applyAlignment="1" pivotButton="0" quotePrefix="0" xfId="0">
      <alignment horizontal="center" vertical="center" wrapText="1"/>
    </xf>
    <xf numFmtId="2" fontId="22" fillId="7" borderId="1" applyAlignment="1" pivotButton="0" quotePrefix="0" xfId="0">
      <alignment horizontal="center" vertical="center" wrapText="1"/>
    </xf>
    <xf numFmtId="164" fontId="21" fillId="9" borderId="1" applyAlignment="1" pivotButton="0" quotePrefix="0" xfId="0">
      <alignment horizontal="center" vertical="center" wrapText="1"/>
    </xf>
    <xf numFmtId="164" fontId="22" fillId="7" borderId="1" applyAlignment="1" pivotButton="0" quotePrefix="0" xfId="0">
      <alignment horizontal="center" vertical="center" wrapText="1"/>
    </xf>
    <xf numFmtId="0" fontId="22" fillId="7" borderId="1" applyAlignment="1" pivotButton="0" quotePrefix="0" xfId="0">
      <alignment horizontal="center" vertical="center" wrapText="1"/>
    </xf>
    <xf numFmtId="2" fontId="23" fillId="6" borderId="1" applyAlignment="1" pivotButton="0" quotePrefix="0" xfId="0">
      <alignment horizontal="center" vertical="center" wrapText="1"/>
    </xf>
    <xf numFmtId="0" fontId="10" fillId="0" borderId="1" applyAlignment="1" pivotButton="0" quotePrefix="0" xfId="0">
      <alignment vertical="center" wrapText="1"/>
    </xf>
    <xf numFmtId="2" fontId="24" fillId="10" borderId="1" applyAlignment="1" pivotButton="0" quotePrefix="0" xfId="0">
      <alignment horizontal="center" vertical="center" wrapText="1"/>
    </xf>
    <xf numFmtId="3" fontId="21" fillId="9" borderId="1" applyAlignment="1" pivotButton="0" quotePrefix="0" xfId="0">
      <alignment horizontal="center" vertical="center" wrapText="1"/>
    </xf>
    <xf numFmtId="164" fontId="23" fillId="6" borderId="1" applyAlignment="1" pivotButton="0" quotePrefix="0" xfId="0">
      <alignment horizontal="center" vertical="center" wrapText="1"/>
    </xf>
    <xf numFmtId="165" fontId="21" fillId="9" borderId="1" applyAlignment="1" pivotButton="0" quotePrefix="0" xfId="0">
      <alignment horizontal="center" vertical="center" wrapText="1"/>
    </xf>
    <xf numFmtId="165" fontId="12" fillId="10" borderId="1" applyAlignment="1" pivotButton="0" quotePrefix="0" xfId="0">
      <alignment horizontal="center" vertical="center" wrapText="1"/>
    </xf>
    <xf numFmtId="165" fontId="23" fillId="6" borderId="1" applyAlignment="1" pivotButton="0" quotePrefix="0" xfId="0">
      <alignment horizontal="center" vertical="center" wrapText="1"/>
    </xf>
    <xf numFmtId="0" fontId="23" fillId="6" borderId="1" applyAlignment="1" pivotButton="0" quotePrefix="0" xfId="0">
      <alignment horizontal="center" vertical="center" wrapText="1"/>
    </xf>
    <xf numFmtId="3" fontId="23" fillId="6" borderId="1" applyAlignment="1" pivotButton="0" quotePrefix="0" xfId="0">
      <alignment horizontal="center" vertical="center" wrapText="1"/>
    </xf>
    <xf numFmtId="0" fontId="0" fillId="0" borderId="1" pivotButton="0" quotePrefix="0" xfId="0"/>
    <xf numFmtId="164" fontId="0" fillId="0" borderId="1" pivotButton="0" quotePrefix="0" xfId="0"/>
    <xf numFmtId="164" fontId="11" fillId="9" borderId="0" pivotButton="0" quotePrefix="0" xfId="0"/>
    <xf numFmtId="0" fontId="5" fillId="4" borderId="1" pivotButton="0" quotePrefix="0" xfId="0"/>
    <xf numFmtId="0" fontId="25" fillId="11" borderId="0" pivotButton="0" quotePrefix="0" xfId="0"/>
    <xf numFmtId="0" fontId="0" fillId="11" borderId="0" pivotButton="0" quotePrefix="0" xfId="0"/>
    <xf numFmtId="0" fontId="26" fillId="11" borderId="0" pivotButton="0" quotePrefix="0" xfId="0"/>
    <xf numFmtId="0" fontId="27" fillId="12" borderId="0" pivotButton="0" quotePrefix="0" xfId="0"/>
    <xf numFmtId="0" fontId="0" fillId="12" borderId="0" pivotButton="0" quotePrefix="0" xfId="0"/>
    <xf numFmtId="0" fontId="28" fillId="12" borderId="0" pivotButton="0" quotePrefix="0" xfId="0"/>
    <xf numFmtId="0" fontId="29" fillId="12" borderId="0" pivotButton="0" quotePrefix="0" xfId="0"/>
    <xf numFmtId="0" fontId="30" fillId="13" borderId="0" pivotButton="0" quotePrefix="0" xfId="0"/>
    <xf numFmtId="0" fontId="0" fillId="13" borderId="0" pivotButton="0" quotePrefix="0" xfId="0"/>
    <xf numFmtId="0" fontId="31" fillId="0" borderId="0" pivotButton="0" quotePrefix="0" xfId="0"/>
    <xf numFmtId="0" fontId="32" fillId="0" borderId="0" pivotButton="0" quotePrefix="0" xfId="0"/>
    <xf numFmtId="0" fontId="30" fillId="14" borderId="5" applyAlignment="1" pivotButton="0" quotePrefix="0" xfId="0">
      <alignment horizontal="center" vertical="center" wrapText="1"/>
    </xf>
    <xf numFmtId="0" fontId="33" fillId="0" borderId="5" pivotButton="0" quotePrefix="0" xfId="0"/>
    <xf numFmtId="164" fontId="33" fillId="0" borderId="5" pivotButton="0" quotePrefix="0" xfId="0"/>
    <xf numFmtId="167" fontId="33" fillId="15" borderId="5" pivotButton="0" quotePrefix="0" xfId="0"/>
    <xf numFmtId="167" fontId="34" fillId="16" borderId="5" pivotButton="0" quotePrefix="0" xfId="0"/>
    <xf numFmtId="167" fontId="33" fillId="17" borderId="5" pivotButton="0" quotePrefix="0" xfId="0"/>
    <xf numFmtId="167" fontId="34" fillId="18" borderId="5" pivotButton="0" quotePrefix="0" xfId="0"/>
    <xf numFmtId="167" fontId="35" fillId="12" borderId="5" pivotButton="0" quotePrefix="0" xfId="0"/>
    <xf numFmtId="167" fontId="33" fillId="19" borderId="5" pivotButton="0" quotePrefix="0" xfId="0"/>
    <xf numFmtId="167" fontId="33" fillId="20" borderId="5" pivotButton="0" quotePrefix="0" xfId="0"/>
    <xf numFmtId="167" fontId="36" fillId="0" borderId="5" applyAlignment="1" pivotButton="0" quotePrefix="0" xfId="0">
      <alignment horizontal="center"/>
    </xf>
    <xf numFmtId="0" fontId="37" fillId="0" borderId="0" pivotButton="0" quotePrefix="0" xfId="0"/>
    <xf numFmtId="0" fontId="38" fillId="0" borderId="0" pivotButton="0" quotePrefix="0" xfId="0"/>
    <xf numFmtId="0" fontId="39" fillId="14" borderId="5" applyAlignment="1" pivotButton="0" quotePrefix="0" xfId="0">
      <alignment vertical="center" wrapText="1"/>
    </xf>
    <xf numFmtId="0" fontId="33" fillId="15" borderId="5" applyAlignment="1" pivotButton="0" quotePrefix="0" xfId="0">
      <alignment vertical="center" wrapText="1"/>
    </xf>
    <xf numFmtId="0" fontId="40" fillId="15" borderId="5" applyAlignment="1" pivotButton="0" quotePrefix="0" xfId="0">
      <alignment vertical="center" wrapText="1"/>
    </xf>
    <xf numFmtId="0" fontId="33" fillId="17" borderId="5" applyAlignment="1" pivotButton="0" quotePrefix="0" xfId="0">
      <alignment vertical="center" wrapText="1"/>
    </xf>
    <xf numFmtId="0" fontId="40" fillId="17" borderId="5" applyAlignment="1" pivotButton="0" quotePrefix="0" xfId="0">
      <alignment vertical="center" wrapText="1"/>
    </xf>
    <xf numFmtId="0" fontId="33" fillId="19" borderId="5" applyAlignment="1" pivotButton="0" quotePrefix="0" xfId="0">
      <alignment vertical="center" wrapText="1"/>
    </xf>
    <xf numFmtId="0" fontId="40" fillId="19" borderId="5" applyAlignment="1" pivotButton="0" quotePrefix="0" xfId="0">
      <alignment vertical="center" wrapText="1"/>
    </xf>
    <xf numFmtId="0" fontId="41" fillId="0" borderId="5" pivotButton="0" quotePrefix="0" xfId="0"/>
    <xf numFmtId="167" fontId="42" fillId="12" borderId="5" pivotButton="0" quotePrefix="0" xfId="0"/>
    <xf numFmtId="167" fontId="41" fillId="0" borderId="5" pivotButton="0" quotePrefix="0" xfId="0"/>
    <xf numFmtId="167" fontId="38" fillId="20" borderId="5" pivotButton="0" quotePrefix="0" xfId="0"/>
    <xf numFmtId="0" fontId="25" fillId="11" borderId="0" applyAlignment="1" pivotButton="0" quotePrefix="0" xfId="0">
      <alignment vertical="top" wrapText="1"/>
    </xf>
    <xf numFmtId="0" fontId="35" fillId="0" borderId="0" applyAlignment="1" pivotButton="0" quotePrefix="0" xfId="0">
      <alignment vertical="top" wrapText="1"/>
    </xf>
    <xf numFmtId="0" fontId="43" fillId="0" borderId="0" applyAlignment="1" pivotButton="0" quotePrefix="0" xfId="0">
      <alignment vertical="top" wrapText="1"/>
    </xf>
    <xf numFmtId="0" fontId="33" fillId="0" borderId="0" applyAlignment="1" pivotButton="0" quotePrefix="0" xfId="0">
      <alignment vertical="top" wrapText="1"/>
    </xf>
    <xf numFmtId="2" fontId="21" fillId="21" borderId="1" applyAlignment="1" pivotButton="0" quotePrefix="0" xfId="0">
      <alignment horizontal="center" vertical="center" wrapText="1"/>
    </xf>
    <xf numFmtId="165" fontId="12" fillId="21" borderId="1" applyAlignment="1" pivotButton="0" quotePrefix="0" xfId="0">
      <alignment horizontal="center" vertical="center" wrapText="1"/>
    </xf>
    <xf numFmtId="165" fontId="23" fillId="21" borderId="1" applyAlignment="1" pivotButton="0" quotePrefix="0" xfId="0">
      <alignment horizontal="center" vertical="center" wrapText="1"/>
    </xf>
    <xf numFmtId="167" fontId="0" fillId="21" borderId="0" pivotButton="0" quotePrefix="0" xfId="0"/>
    <xf numFmtId="0" fontId="44" fillId="22" borderId="5" pivotButton="0" quotePrefix="0" xfId="0"/>
    <xf numFmtId="0" fontId="45" fillId="23" borderId="5" pivotButton="0" quotePrefix="0" xfId="0"/>
    <xf numFmtId="0" fontId="45" fillId="24" borderId="5" pivotButton="0" quotePrefix="0" xfId="0"/>
    <xf numFmtId="0" fontId="36" fillId="12" borderId="5" pivotButton="0" quotePrefix="0" xfId="0"/>
    <xf numFmtId="0" fontId="46" fillId="24" borderId="5" pivotButton="0" quotePrefix="0" xfId="0"/>
    <xf numFmtId="0" fontId="39" fillId="11" borderId="0" applyAlignment="1" pivotButton="0" quotePrefix="0" xfId="0">
      <alignment horizontal="center"/>
    </xf>
    <xf numFmtId="0" fontId="39" fillId="14" borderId="0" applyAlignment="1" pivotButton="0" quotePrefix="0" xfId="0">
      <alignment horizontal="center"/>
    </xf>
    <xf numFmtId="0" fontId="30" fillId="11" borderId="5" applyAlignment="1" pivotButton="0" quotePrefix="0" xfId="0">
      <alignment horizontal="center" vertical="center" wrapText="1"/>
    </xf>
    <xf numFmtId="0" fontId="43" fillId="25" borderId="0" pivotButton="0" quotePrefix="0" xfId="0"/>
    <xf numFmtId="0" fontId="0" fillId="25" borderId="0" pivotButton="0" quotePrefix="0" xfId="0"/>
    <xf numFmtId="0" fontId="29" fillId="0" borderId="5" applyAlignment="1" pivotButton="0" quotePrefix="0" xfId="0">
      <alignment vertical="center"/>
    </xf>
    <xf numFmtId="0" fontId="47" fillId="0" borderId="5" applyAlignment="1" pivotButton="0" quotePrefix="0" xfId="0">
      <alignment vertical="center" wrapText="1"/>
    </xf>
    <xf numFmtId="0" fontId="29" fillId="0" borderId="5" applyAlignment="1" pivotButton="0" quotePrefix="0" xfId="0">
      <alignment vertical="center" wrapText="1"/>
    </xf>
    <xf numFmtId="168" fontId="44" fillId="22" borderId="5" applyAlignment="1" pivotButton="0" quotePrefix="0" xfId="0">
      <alignment horizontal="right" vertical="center"/>
    </xf>
    <xf numFmtId="1" fontId="44" fillId="22" borderId="5" applyAlignment="1" pivotButton="0" quotePrefix="0" xfId="0">
      <alignment horizontal="right" vertical="center"/>
    </xf>
    <xf numFmtId="3" fontId="48" fillId="0" borderId="5" applyAlignment="1" pivotButton="0" quotePrefix="0" xfId="0">
      <alignment horizontal="right" vertical="center"/>
    </xf>
    <xf numFmtId="164" fontId="44" fillId="22" borderId="5" applyAlignment="1" pivotButton="0" quotePrefix="0" xfId="0">
      <alignment horizontal="right" vertical="center"/>
    </xf>
    <xf numFmtId="164" fontId="48" fillId="0" borderId="5" applyAlignment="1" pivotButton="0" quotePrefix="0" xfId="0">
      <alignment horizontal="right" vertical="center"/>
    </xf>
    <xf numFmtId="10" fontId="44" fillId="22" borderId="5" applyAlignment="1" pivotButton="0" quotePrefix="0" xfId="0">
      <alignment horizontal="right" vertical="center"/>
    </xf>
    <xf numFmtId="3" fontId="44" fillId="22" borderId="5" applyAlignment="1" pivotButton="0" quotePrefix="0" xfId="0">
      <alignment horizontal="right" vertical="center"/>
    </xf>
    <xf numFmtId="1" fontId="48" fillId="0" borderId="5" applyAlignment="1" pivotButton="0" quotePrefix="0" xfId="0">
      <alignment horizontal="right" vertical="center"/>
    </xf>
    <xf numFmtId="3" fontId="44" fillId="22" borderId="6" applyAlignment="1" pivotButton="0" quotePrefix="0" xfId="0">
      <alignment horizontal="right" vertical="center"/>
    </xf>
    <xf numFmtId="168" fontId="48" fillId="0" borderId="5" applyAlignment="1" pivotButton="0" quotePrefix="0" xfId="0">
      <alignment horizontal="right" vertical="center"/>
    </xf>
    <xf numFmtId="168" fontId="48" fillId="0" borderId="6" applyAlignment="1" pivotButton="0" quotePrefix="0" xfId="0">
      <alignment horizontal="right" vertical="center"/>
    </xf>
    <xf numFmtId="4" fontId="48" fillId="0" borderId="5" applyAlignment="1" pivotButton="0" quotePrefix="0" xfId="0">
      <alignment horizontal="right" vertical="center"/>
    </xf>
    <xf numFmtId="4" fontId="49" fillId="23" borderId="5" applyAlignment="1" pivotButton="0" quotePrefix="0" xfId="0">
      <alignment horizontal="right" vertical="center"/>
    </xf>
    <xf numFmtId="4" fontId="49" fillId="23" borderId="6" applyAlignment="1" pivotButton="0" quotePrefix="0" xfId="0">
      <alignment horizontal="right" vertical="center"/>
    </xf>
    <xf numFmtId="2" fontId="44" fillId="22" borderId="5" applyAlignment="1" pivotButton="0" quotePrefix="0" xfId="0">
      <alignment horizontal="right" vertical="center"/>
    </xf>
    <xf numFmtId="4" fontId="44" fillId="22" borderId="5" applyAlignment="1" pivotButton="0" quotePrefix="0" xfId="0">
      <alignment horizontal="right" vertical="center"/>
    </xf>
    <xf numFmtId="4" fontId="44" fillId="22" borderId="6" applyAlignment="1" pivotButton="0" quotePrefix="0" xfId="0">
      <alignment horizontal="right" vertical="center"/>
    </xf>
    <xf numFmtId="10" fontId="48" fillId="0" borderId="5" applyAlignment="1" pivotButton="0" quotePrefix="0" xfId="0">
      <alignment horizontal="right" vertical="center"/>
    </xf>
    <xf numFmtId="169" fontId="48" fillId="0" borderId="5" applyAlignment="1" pivotButton="0" quotePrefix="0" xfId="0">
      <alignment horizontal="right" vertical="center"/>
    </xf>
    <xf numFmtId="167" fontId="44" fillId="22" borderId="5" applyAlignment="1" pivotButton="0" quotePrefix="0" xfId="0">
      <alignment horizontal="right" vertical="center"/>
    </xf>
    <xf numFmtId="170" fontId="44" fillId="22" borderId="5" applyAlignment="1" pivotButton="0" quotePrefix="0" xfId="0">
      <alignment horizontal="right" vertical="center"/>
    </xf>
    <xf numFmtId="165" fontId="49" fillId="23" borderId="5" applyAlignment="1" pivotButton="0" quotePrefix="0" xfId="0">
      <alignment horizontal="right" vertical="center"/>
    </xf>
    <xf numFmtId="165" fontId="49" fillId="23" borderId="6" applyAlignment="1" pivotButton="0" quotePrefix="0" xfId="0">
      <alignment horizontal="right" vertical="center"/>
    </xf>
    <xf numFmtId="169" fontId="50" fillId="12" borderId="5" applyAlignment="1" pivotButton="0" quotePrefix="0" xfId="0">
      <alignment horizontal="right" vertical="center"/>
    </xf>
    <xf numFmtId="10" fontId="50" fillId="12" borderId="5" applyAlignment="1" pivotButton="0" quotePrefix="0" xfId="0">
      <alignment horizontal="right" vertical="center"/>
    </xf>
    <xf numFmtId="170" fontId="50" fillId="12" borderId="5" applyAlignment="1" pivotButton="0" quotePrefix="0" xfId="0">
      <alignment horizontal="right" vertical="center"/>
    </xf>
    <xf numFmtId="165" fontId="50" fillId="12" borderId="5" applyAlignment="1" pivotButton="0" quotePrefix="0" xfId="0">
      <alignment horizontal="right" vertical="center"/>
    </xf>
    <xf numFmtId="165" fontId="50" fillId="12" borderId="6" applyAlignment="1" pivotButton="0" quotePrefix="0" xfId="0">
      <alignment horizontal="right" vertical="center"/>
    </xf>
    <xf numFmtId="165" fontId="36" fillId="12" borderId="5" applyAlignment="1" pivotButton="0" quotePrefix="0" xfId="0">
      <alignment horizontal="right" vertical="center"/>
    </xf>
    <xf numFmtId="165" fontId="36" fillId="12" borderId="6"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Fin42: GATP = CRF + OM (PhP/kWh)</a:t>
            </a:r>
          </a:p>
        </rich>
      </tx>
    </title>
    <plotArea>
      <barChart>
        <barDir val="bar"/>
        <grouping val="stacked"/>
        <ser>
          <idx val="0"/>
          <order val="0"/>
          <tx>
            <strRef>
              <f>'GATP_Summary'!J5</f>
            </strRef>
          </tx>
          <spPr>
            <a:solidFill xmlns:a="http://schemas.openxmlformats.org/drawingml/2006/main">
              <a:srgbClr val="2A78D6"/>
            </a:solidFill>
            <a:ln xmlns:a="http://schemas.openxmlformats.org/drawingml/2006/main">
              <a:solidFill>
                <a:srgbClr val="FCFCFB"/>
              </a:solidFill>
              <a:prstDash val="solid"/>
            </a:ln>
          </spPr>
          <cat>
            <numRef>
              <f>'GATP_Summary'!$A$6:$A$16</f>
            </numRef>
          </cat>
          <val>
            <numRef>
              <f>'GATP_Summary'!$J$6:$J$16</f>
            </numRef>
          </val>
        </ser>
        <ser>
          <idx val="1"/>
          <order val="1"/>
          <tx>
            <strRef>
              <f>'GATP_Summary'!M5</f>
            </strRef>
          </tx>
          <spPr>
            <a:solidFill xmlns:a="http://schemas.openxmlformats.org/drawingml/2006/main">
              <a:srgbClr val="EB6834"/>
            </a:solidFill>
            <a:ln xmlns:a="http://schemas.openxmlformats.org/drawingml/2006/main">
              <a:solidFill>
                <a:srgbClr val="FCFCFB"/>
              </a:solidFill>
              <a:prstDash val="solid"/>
            </a:ln>
          </spPr>
          <cat>
            <numRef>
              <f>'GATP_Summary'!$A$6:$A$16</f>
            </numRef>
          </cat>
          <val>
            <numRef>
              <f>'GATP_Summary'!$M$6:$M$16</f>
            </numRef>
          </val>
        </ser>
        <gapWidth val="60"/>
        <overlap val="100"/>
        <axId val="10"/>
        <axId val="100"/>
      </barChart>
      <catAx>
        <axId val="10"/>
        <scaling>
          <orientation val="maxMin"/>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PhP/kWh</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Fin90: GATP = CRF + OM (PhP/kWh)</a:t>
            </a:r>
          </a:p>
        </rich>
      </tx>
    </title>
    <plotArea>
      <barChart>
        <barDir val="bar"/>
        <grouping val="stacked"/>
        <ser>
          <idx val="0"/>
          <order val="0"/>
          <tx>
            <strRef>
              <f>'GATP_Summary'!J19</f>
            </strRef>
          </tx>
          <spPr>
            <a:solidFill xmlns:a="http://schemas.openxmlformats.org/drawingml/2006/main">
              <a:srgbClr val="2A78D6"/>
            </a:solidFill>
            <a:ln xmlns:a="http://schemas.openxmlformats.org/drawingml/2006/main">
              <a:solidFill>
                <a:srgbClr val="FCFCFB"/>
              </a:solidFill>
              <a:prstDash val="solid"/>
            </a:ln>
          </spPr>
          <cat>
            <numRef>
              <f>'GATP_Summary'!$A$20:$A$30</f>
            </numRef>
          </cat>
          <val>
            <numRef>
              <f>'GATP_Summary'!$J$20:$J$30</f>
            </numRef>
          </val>
        </ser>
        <ser>
          <idx val="1"/>
          <order val="1"/>
          <tx>
            <strRef>
              <f>'GATP_Summary'!M19</f>
            </strRef>
          </tx>
          <spPr>
            <a:solidFill xmlns:a="http://schemas.openxmlformats.org/drawingml/2006/main">
              <a:srgbClr val="EB6834"/>
            </a:solidFill>
            <a:ln xmlns:a="http://schemas.openxmlformats.org/drawingml/2006/main">
              <a:solidFill>
                <a:srgbClr val="FCFCFB"/>
              </a:solidFill>
              <a:prstDash val="solid"/>
            </a:ln>
          </spPr>
          <cat>
            <numRef>
              <f>'GATP_Summary'!$A$20:$A$30</f>
            </numRef>
          </cat>
          <val>
            <numRef>
              <f>'GATP_Summary'!$M$20:$M$30</f>
            </numRef>
          </val>
        </ser>
        <gapWidth val="60"/>
        <overlap val="100"/>
        <axId val="10"/>
        <axId val="100"/>
      </barChart>
      <catAx>
        <axId val="10"/>
        <scaling>
          <orientation val="maxMin"/>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PhP/kWh</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8</row>
      <rowOff>0</rowOff>
    </from>
    <ext cx="9906000" cy="472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35</row>
      <rowOff>0</rowOff>
    </from>
    <ext cx="9906000" cy="4114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18</col>
      <colOff>0</colOff>
      <row>3</row>
      <rowOff>0</rowOff>
    </from>
    <ext cx="612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23</row>
      <rowOff>0</rowOff>
    </from>
    <ext cx="612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P59"/>
  <sheetViews>
    <sheetView showGridLines="0" workbookViewId="0">
      <selection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0" customHeight="1">
      <c r="A1" s="68" t="inlineStr">
        <is>
          <t>GAT Price (GATP) dashboard – Mid-Merit Natural Gas Capacity Auction</t>
        </is>
      </c>
      <c r="B1" s="69" t="n"/>
      <c r="C1" s="69" t="n"/>
      <c r="D1" s="69" t="n"/>
      <c r="E1" s="69" t="n"/>
      <c r="F1" s="69" t="n"/>
      <c r="G1" s="69" t="n"/>
      <c r="H1" s="69" t="n"/>
      <c r="I1" s="69" t="n"/>
      <c r="J1" s="69" t="n"/>
      <c r="K1" s="69" t="n"/>
      <c r="L1" s="69" t="n"/>
      <c r="M1" s="69" t="n"/>
      <c r="N1" s="69" t="n"/>
      <c r="O1" s="69" t="n"/>
      <c r="P1" s="69" t="n"/>
    </row>
    <row r="2">
      <c r="A2" s="70" t="inlineStr">
        <is>
          <t>Decision of 19 Oct 2026 (GAIR Sec. 8.6): GATP = CRF + OM; CLLC paid through the Fuel Cost. Capex (market +25%): existing CCGT US$600/kW; new CCGT US$1,500/kW, gas engine US$1,375/kW, OCGT US$875/kW. PhP/kWh, excluding fuel.</t>
        </is>
      </c>
      <c r="B2" s="69" t="n"/>
      <c r="C2" s="69" t="n"/>
      <c r="D2" s="69" t="n"/>
      <c r="E2" s="69" t="n"/>
      <c r="F2" s="69" t="n"/>
      <c r="G2" s="69" t="n"/>
      <c r="H2" s="69" t="n"/>
      <c r="I2" s="69" t="n"/>
      <c r="J2" s="69" t="n"/>
      <c r="K2" s="69" t="n"/>
      <c r="L2" s="69" t="n"/>
      <c r="M2" s="69" t="n"/>
      <c r="N2" s="69" t="n"/>
      <c r="O2" s="69" t="n"/>
      <c r="P2" s="69" t="n"/>
    </row>
    <row r="4">
      <c r="B4" s="71" t="inlineStr">
        <is>
          <t>Existing CCGT (Lots 1–2)</t>
        </is>
      </c>
      <c r="C4" s="72" t="n"/>
      <c r="D4" s="72" t="n"/>
      <c r="F4" s="71" t="inlineStr">
        <is>
          <t>New CCGT</t>
        </is>
      </c>
      <c r="G4" s="72" t="n"/>
      <c r="H4" s="72" t="n"/>
      <c r="J4" s="71" t="inlineStr">
        <is>
          <t>New OCGT</t>
        </is>
      </c>
      <c r="K4" s="72" t="n"/>
      <c r="L4" s="72" t="n"/>
      <c r="N4" s="71" t="inlineStr">
        <is>
          <t>New gas engine</t>
        </is>
      </c>
      <c r="O4" s="72" t="n"/>
      <c r="P4" s="72" t="n"/>
    </row>
    <row r="5" ht="30" customHeight="1">
      <c r="B5" s="73" t="inlineStr">
        <is>
          <t>1.35 – 2.12</t>
        </is>
      </c>
      <c r="C5" s="72" t="n"/>
      <c r="D5" s="72" t="n"/>
      <c r="F5" s="73" t="inlineStr">
        <is>
          <t>3.18 – 4.70</t>
        </is>
      </c>
      <c r="G5" s="72" t="n"/>
      <c r="H5" s="72" t="n"/>
      <c r="J5" s="73" t="inlineStr">
        <is>
          <t>2.06 – 2.92</t>
        </is>
      </c>
      <c r="K5" s="72" t="n"/>
      <c r="L5" s="72" t="n"/>
      <c r="N5" s="73" t="inlineStr">
        <is>
          <t>3.05 – 4.45</t>
        </is>
      </c>
      <c r="O5" s="72" t="n"/>
      <c r="P5" s="72" t="n"/>
    </row>
    <row r="6">
      <c r="B6" s="74" t="inlineStr">
        <is>
          <t>PhP/kWh GATP (Fin90 – Fin42)</t>
        </is>
      </c>
      <c r="C6" s="72" t="n"/>
      <c r="D6" s="72" t="n"/>
      <c r="F6" s="74" t="inlineStr">
        <is>
          <t>PhP/kWh GATP (Fin90 – Fin42)</t>
        </is>
      </c>
      <c r="G6" s="72" t="n"/>
      <c r="H6" s="72" t="n"/>
      <c r="J6" s="74" t="inlineStr">
        <is>
          <t>PhP/kWh GATP (Fin90 – Fin42)</t>
        </is>
      </c>
      <c r="K6" s="72" t="n"/>
      <c r="L6" s="72" t="n"/>
      <c r="N6" s="74" t="inlineStr">
        <is>
          <t>PhP/kWh GATP (Fin90 – Fin42)</t>
        </is>
      </c>
      <c r="O6" s="72" t="n"/>
      <c r="P6" s="72" t="n"/>
    </row>
    <row r="7">
      <c r="B7" s="75" t="inlineStr">
        <is>
          <t>CRF + OM only</t>
        </is>
      </c>
      <c r="C7" s="76" t="n"/>
      <c r="D7" s="76" t="n"/>
      <c r="F7" s="75" t="inlineStr">
        <is>
          <t>CRF + OM only</t>
        </is>
      </c>
      <c r="G7" s="76" t="n"/>
      <c r="H7" s="76" t="n"/>
      <c r="J7" s="75" t="inlineStr">
        <is>
          <t>CRF + OM only</t>
        </is>
      </c>
      <c r="K7" s="76" t="n"/>
      <c r="L7" s="76" t="n"/>
      <c r="N7" s="75" t="inlineStr">
        <is>
          <t>CRF + OM only</t>
        </is>
      </c>
      <c r="O7" s="76" t="n"/>
      <c r="P7" s="76" t="n"/>
    </row>
    <row r="59">
      <c r="B59" s="77" t="inlineStr">
        <is>
          <t>Lower bound = Fin90 (historical capacity factor); upper bound = Fin42 (TOR 42%). Visayas 440 MW and 500 MW give the same rate (per-kW model). Tables: GATP_Summary.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3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9" customWidth="1" min="2" max="2"/>
    <col width="8" customWidth="1" min="3" max="3"/>
    <col width="15" customWidth="1" min="4" max="4"/>
    <col width="10" customWidth="1" min="5" max="5"/>
    <col width="12" customWidth="1" min="6" max="6"/>
    <col width="9" customWidth="1" min="7" max="7"/>
    <col width="9" customWidth="1" min="8" max="8"/>
    <col width="12" customWidth="1" min="9" max="9"/>
    <col width="10" customWidth="1" min="10" max="10"/>
    <col width="10" customWidth="1" min="11" max="11"/>
    <col width="11" customWidth="1" min="12" max="12"/>
    <col width="10" customWidth="1" min="13" max="13"/>
    <col width="13" customWidth="1" min="14" max="14"/>
    <col width="12" customWidth="1" min="15" max="15"/>
    <col width="14" customWidth="1" min="16" max="16"/>
    <col width="8" customWidth="1" min="17" max="17"/>
  </cols>
  <sheetData>
    <row r="1" ht="30" customHeight="1">
      <c r="A1" s="68" t="inlineStr">
        <is>
          <t>GAT Price build-up by case – PhP/kWh, first year, excluding fuel</t>
        </is>
      </c>
      <c r="B1" s="69" t="n"/>
      <c r="C1" s="69" t="n"/>
      <c r="D1" s="69" t="n"/>
      <c r="E1" s="69" t="n"/>
      <c r="F1" s="69" t="n"/>
      <c r="G1" s="69" t="n"/>
      <c r="H1" s="69" t="n"/>
      <c r="I1" s="69" t="n"/>
      <c r="J1" s="69" t="n"/>
      <c r="K1" s="69" t="n"/>
      <c r="L1" s="69" t="n"/>
      <c r="M1" s="69" t="n"/>
      <c r="N1" s="69" t="n"/>
      <c r="O1" s="69" t="n"/>
      <c r="P1" s="69" t="n"/>
      <c r="Q1" s="69" t="n"/>
    </row>
    <row r="2">
      <c r="A2" s="70" t="inlineStr">
        <is>
          <t>GATP = CRF + OM (GAIR Sec. 8.6, decision of 19 Oct 2026). CRF = capital recovery + G&amp;A + land lease + local taxes; OM = fixed + variable non-fuel O&amp;M. CLLC moved to the Fuel Cost (Sec. 13.4, 17, 18).</t>
        </is>
      </c>
      <c r="B2" s="69" t="n"/>
      <c r="C2" s="69" t="n"/>
      <c r="D2" s="69" t="n"/>
      <c r="E2" s="69" t="n"/>
      <c r="F2" s="69" t="n"/>
      <c r="G2" s="69" t="n"/>
      <c r="H2" s="69" t="n"/>
      <c r="I2" s="69" t="n"/>
      <c r="J2" s="69" t="n"/>
      <c r="K2" s="69" t="n"/>
      <c r="L2" s="69" t="n"/>
      <c r="M2" s="69" t="n"/>
      <c r="N2" s="69" t="n"/>
      <c r="O2" s="69" t="n"/>
      <c r="P2" s="69" t="n"/>
      <c r="Q2" s="69" t="n"/>
    </row>
    <row r="4">
      <c r="A4" s="78" t="inlineStr">
        <is>
          <t>Fin42 – TOR capacity factor (42%; Lot 1 adds 24% non-mid-merit energy paid fuel only)</t>
        </is>
      </c>
    </row>
    <row r="5" ht="32" customHeight="1">
      <c r="A5" s="79" t="inlineStr">
        <is>
          <t>Case</t>
        </is>
      </c>
      <c r="B5" s="79" t="inlineStr">
        <is>
          <t>Grid</t>
        </is>
      </c>
      <c r="C5" s="79" t="inlineStr">
        <is>
          <t>MW</t>
        </is>
      </c>
      <c r="D5" s="79" t="inlineStr">
        <is>
          <t>Technology</t>
        </is>
      </c>
      <c r="E5" s="79" t="inlineStr">
        <is>
          <t>Capacity factor</t>
        </is>
      </c>
      <c r="F5" s="79" t="inlineStr">
        <is>
          <t>Capital recovery</t>
        </is>
      </c>
      <c r="G5" s="79" t="inlineStr">
        <is>
          <t>G&amp;A</t>
        </is>
      </c>
      <c r="H5" s="79" t="inlineStr">
        <is>
          <t>Land lease</t>
        </is>
      </c>
      <c r="I5" s="79" t="inlineStr">
        <is>
          <t>Local taxes, ER 1-94</t>
        </is>
      </c>
      <c r="J5" s="79" t="inlineStr">
        <is>
          <t>CRF</t>
        </is>
      </c>
      <c r="K5" s="79" t="inlineStr">
        <is>
          <t>Fixed O&amp;M</t>
        </is>
      </c>
      <c r="L5" s="79" t="inlineStr">
        <is>
          <t>Variable O&amp;M</t>
        </is>
      </c>
      <c r="M5" s="79" t="inlineStr">
        <is>
          <t>OM</t>
        </is>
      </c>
      <c r="N5" s="79" t="inlineStr">
        <is>
          <t>GATP = CRF + OM</t>
        </is>
      </c>
      <c r="O5" s="79" t="inlineStr">
        <is>
          <t>CLLC → Fuel Cost</t>
        </is>
      </c>
      <c r="P5" s="79" t="inlineStr">
        <is>
          <t>Previous GATP (incl. CLLC)</t>
        </is>
      </c>
      <c r="Q5" s="79" t="inlineStr">
        <is>
          <t>Check</t>
        </is>
      </c>
    </row>
    <row r="6">
      <c r="A6" s="80" t="inlineStr">
        <is>
          <t>Lot 1 Existing CCGT – Luzon 1,400 MW</t>
        </is>
      </c>
      <c r="B6" s="80" t="inlineStr">
        <is>
          <t>Luzon</t>
        </is>
      </c>
      <c r="C6" s="80" t="n">
        <v>1400</v>
      </c>
      <c r="D6" s="80" t="inlineStr">
        <is>
          <t>Existing CCGT</t>
        </is>
      </c>
      <c r="E6" s="81" t="n">
        <v>0.42</v>
      </c>
      <c r="F6" s="82" t="n">
        <v>1.486830198990387</v>
      </c>
      <c r="G6" s="82" t="n">
        <v>0.04777779558966159</v>
      </c>
      <c r="H6" s="82" t="n">
        <v>0</v>
      </c>
      <c r="I6" s="82" t="n">
        <v>0.1328416046460465</v>
      </c>
      <c r="J6" s="83">
        <f>SUM(F6:I6)</f>
        <v/>
      </c>
      <c r="K6" s="84" t="n">
        <v>0.2408352664316716</v>
      </c>
      <c r="L6" s="84" t="n">
        <v>0.215260421728373</v>
      </c>
      <c r="M6" s="85">
        <f>K6+L6</f>
        <v/>
      </c>
      <c r="N6" s="86">
        <f>J6+M6</f>
        <v/>
      </c>
      <c r="O6" s="87" t="n">
        <v>1.216353671233749</v>
      </c>
      <c r="P6" s="88" t="n">
        <v>2.933449032397625</v>
      </c>
      <c r="Q6" s="89">
        <f>IF(ABS(N6-2.1235452874)&lt;0.0001,"OK","CHECK")</f>
        <v/>
      </c>
    </row>
    <row r="7">
      <c r="A7" s="80" t="inlineStr">
        <is>
          <t>Lot 2 Existing CCGT – Luzon 500 MW</t>
        </is>
      </c>
      <c r="B7" s="80" t="inlineStr">
        <is>
          <t>Luzon</t>
        </is>
      </c>
      <c r="C7" s="80" t="n">
        <v>500</v>
      </c>
      <c r="D7" s="80" t="inlineStr">
        <is>
          <t>Existing CCGT</t>
        </is>
      </c>
      <c r="E7" s="81" t="n">
        <v>0.42</v>
      </c>
      <c r="F7" s="82" t="n">
        <v>1.488143043872764</v>
      </c>
      <c r="G7" s="82" t="n">
        <v>0.04329565893794141</v>
      </c>
      <c r="H7" s="82" t="n">
        <v>0</v>
      </c>
      <c r="I7" s="82" t="n">
        <v>0.1321331544672561</v>
      </c>
      <c r="J7" s="83">
        <f>SUM(F7:I7)</f>
        <v/>
      </c>
      <c r="K7" s="84" t="n">
        <v>0.2408352664316718</v>
      </c>
      <c r="L7" s="84" t="n">
        <v>0.1413672748916645</v>
      </c>
      <c r="M7" s="85">
        <f>K7+L7</f>
        <v/>
      </c>
      <c r="N7" s="86">
        <f>J7+M7</f>
        <v/>
      </c>
      <c r="O7" s="87" t="n">
        <v>0.7740432453305683</v>
      </c>
      <c r="P7" s="88" t="n">
        <v>2.413367717709602</v>
      </c>
      <c r="Q7" s="89">
        <f>IF(ABS(N7-2.0457743986)&lt;0.0001,"OK","CHECK")</f>
        <v/>
      </c>
    </row>
    <row r="8">
      <c r="A8" s="80" t="inlineStr">
        <is>
          <t>New CCGT – Luzon 1,000 MW</t>
        </is>
      </c>
      <c r="B8" s="80" t="inlineStr">
        <is>
          <t>Luzon</t>
        </is>
      </c>
      <c r="C8" s="80" t="n">
        <v>1000</v>
      </c>
      <c r="D8" s="80" t="inlineStr">
        <is>
          <t>New CCGT</t>
        </is>
      </c>
      <c r="E8" s="81" t="n">
        <v>0.42</v>
      </c>
      <c r="F8" s="82" t="n">
        <v>3.94390173844531</v>
      </c>
      <c r="G8" s="82" t="n">
        <v>0.07052284750191348</v>
      </c>
      <c r="H8" s="82" t="n">
        <v>0</v>
      </c>
      <c r="I8" s="82" t="n">
        <v>0.2839542902423469</v>
      </c>
      <c r="J8" s="83">
        <f>SUM(F8:I8)</f>
        <v/>
      </c>
      <c r="K8" s="84" t="n">
        <v>0.2408352664316718</v>
      </c>
      <c r="L8" s="84" t="n">
        <v>0.1570000865580744</v>
      </c>
      <c r="M8" s="85">
        <f>K8+L8</f>
        <v/>
      </c>
      <c r="N8" s="86">
        <f>J8+M8</f>
        <v/>
      </c>
      <c r="O8" s="87" t="n">
        <v>0.7435691018136166</v>
      </c>
      <c r="P8" s="88" t="n">
        <v>3.729301496810136</v>
      </c>
      <c r="Q8" s="89">
        <f>IF(ABS(N8-4.6962142292)&lt;0.0001,"OK","CHECK")</f>
        <v/>
      </c>
    </row>
    <row r="9">
      <c r="A9" s="80" t="inlineStr">
        <is>
          <t>New OCGT – Luzon 1,000 MW</t>
        </is>
      </c>
      <c r="B9" s="80" t="inlineStr">
        <is>
          <t>Luzon</t>
        </is>
      </c>
      <c r="C9" s="80" t="n">
        <v>1000</v>
      </c>
      <c r="D9" s="80" t="inlineStr">
        <is>
          <t>New OCGT</t>
        </is>
      </c>
      <c r="E9" s="81" t="n">
        <v>0.42</v>
      </c>
      <c r="F9" s="82" t="n">
        <v>2.23213977590294</v>
      </c>
      <c r="G9" s="82" t="n">
        <v>0.05544216248294227</v>
      </c>
      <c r="H9" s="82" t="n">
        <v>0</v>
      </c>
      <c r="I9" s="82" t="n">
        <v>0.1794067985308676</v>
      </c>
      <c r="J9" s="83">
        <f>SUM(F9:I9)</f>
        <v/>
      </c>
      <c r="K9" s="84" t="n">
        <v>0.149314351908768</v>
      </c>
      <c r="L9" s="84" t="n">
        <v>0.3075042492329361</v>
      </c>
      <c r="M9" s="85">
        <f>K9+L9</f>
        <v/>
      </c>
      <c r="N9" s="86">
        <f>J9+M9</f>
        <v/>
      </c>
      <c r="O9" s="87" t="n">
        <v>1.194586425864496</v>
      </c>
      <c r="P9" s="88" t="n">
        <v>3.132474544268364</v>
      </c>
      <c r="Q9" s="89">
        <f>IF(ABS(N9-2.9238073381)&lt;0.0001,"OK","CHECK")</f>
        <v/>
      </c>
    </row>
    <row r="10">
      <c r="A10" s="80" t="inlineStr">
        <is>
          <t>New gas engine – Luzon 1,000 MW</t>
        </is>
      </c>
      <c r="B10" s="80" t="inlineStr">
        <is>
          <t>Luzon</t>
        </is>
      </c>
      <c r="C10" s="80" t="n">
        <v>1000</v>
      </c>
      <c r="D10" s="80" t="inlineStr">
        <is>
          <t>New gas engine</t>
        </is>
      </c>
      <c r="E10" s="81" t="n">
        <v>0.42</v>
      </c>
      <c r="F10" s="82" t="n">
        <v>3.542161243792975</v>
      </c>
      <c r="G10" s="82" t="n">
        <v>0.07844986359632908</v>
      </c>
      <c r="H10" s="82" t="n">
        <v>0</v>
      </c>
      <c r="I10" s="82" t="n">
        <v>0.2629041647027586</v>
      </c>
      <c r="J10" s="83">
        <f>SUM(F10:I10)</f>
        <v/>
      </c>
      <c r="K10" s="84" t="n">
        <v>0.2898455066464321</v>
      </c>
      <c r="L10" s="84" t="n">
        <v>0.2721899596042816</v>
      </c>
      <c r="M10" s="85">
        <f>K10+L10</f>
        <v/>
      </c>
      <c r="N10" s="86">
        <f>J10+M10</f>
        <v/>
      </c>
      <c r="O10" s="87" t="n">
        <v>0.9751725925424473</v>
      </c>
      <c r="P10" s="88" t="n">
        <v>3.950128250112614</v>
      </c>
      <c r="Q10" s="89">
        <f>IF(ABS(N10-4.4455507383)&lt;0.0001,"OK","CHECK")</f>
        <v/>
      </c>
    </row>
    <row r="11">
      <c r="A11" s="80" t="inlineStr">
        <is>
          <t>New CCGT – Visayas 440 MW</t>
        </is>
      </c>
      <c r="B11" s="80" t="inlineStr">
        <is>
          <t>Visayas</t>
        </is>
      </c>
      <c r="C11" s="80" t="n">
        <v>440</v>
      </c>
      <c r="D11" s="80" t="inlineStr">
        <is>
          <t>New CCGT</t>
        </is>
      </c>
      <c r="E11" s="81" t="n">
        <v>0.42</v>
      </c>
      <c r="F11" s="82" t="n">
        <v>3.943882592731354</v>
      </c>
      <c r="G11" s="82" t="n">
        <v>0.07047331219180548</v>
      </c>
      <c r="H11" s="82" t="n">
        <v>0</v>
      </c>
      <c r="I11" s="82" t="n">
        <v>0.2839972337237082</v>
      </c>
      <c r="J11" s="83">
        <f>SUM(F11:I11)</f>
        <v/>
      </c>
      <c r="K11" s="84" t="n">
        <v>0.2408352664316717</v>
      </c>
      <c r="L11" s="84" t="n">
        <v>0.1569705909572128</v>
      </c>
      <c r="M11" s="85">
        <f>K11+L11</f>
        <v/>
      </c>
      <c r="N11" s="86">
        <f>J11+M11</f>
        <v/>
      </c>
      <c r="O11" s="87" t="n">
        <v>1.232759300375205</v>
      </c>
      <c r="P11" s="88" t="n">
        <v>4.218436463045343</v>
      </c>
      <c r="Q11" s="89">
        <f>IF(ABS(N11-4.6961589960)&lt;0.0001,"OK","CHECK")</f>
        <v/>
      </c>
    </row>
    <row r="12">
      <c r="A12" s="80" t="inlineStr">
        <is>
          <t>New OCGT – Visayas 440 MW</t>
        </is>
      </c>
      <c r="B12" s="80" t="inlineStr">
        <is>
          <t>Visayas</t>
        </is>
      </c>
      <c r="C12" s="80" t="n">
        <v>440</v>
      </c>
      <c r="D12" s="80" t="inlineStr">
        <is>
          <t>New OCGT</t>
        </is>
      </c>
      <c r="E12" s="81" t="n">
        <v>0.42</v>
      </c>
      <c r="F12" s="82" t="n">
        <v>2.232123082103706</v>
      </c>
      <c r="G12" s="82" t="n">
        <v>0.05539252538226503</v>
      </c>
      <c r="H12" s="82" t="n">
        <v>0</v>
      </c>
      <c r="I12" s="82" t="n">
        <v>0.1794498275846172</v>
      </c>
      <c r="J12" s="83">
        <f>SUM(F12:I12)</f>
        <v/>
      </c>
      <c r="K12" s="84" t="n">
        <v>0.149314351908768</v>
      </c>
      <c r="L12" s="84" t="n">
        <v>0.3074746951909192</v>
      </c>
      <c r="M12" s="85">
        <f>K12+L12</f>
        <v/>
      </c>
      <c r="N12" s="86">
        <f>J12+M12</f>
        <v/>
      </c>
      <c r="O12" s="87" t="n">
        <v>1.980498548143772</v>
      </c>
      <c r="P12" s="88" t="n">
        <v>3.9183338116066</v>
      </c>
      <c r="Q12" s="89">
        <f>IF(ABS(N12-2.9237544822)&lt;0.0001,"OK","CHECK")</f>
        <v/>
      </c>
    </row>
    <row r="13">
      <c r="A13" s="80" t="inlineStr">
        <is>
          <t>New gas engine – Visayas 440 MW</t>
        </is>
      </c>
      <c r="B13" s="80" t="inlineStr">
        <is>
          <t>Visayas</t>
        </is>
      </c>
      <c r="C13" s="80" t="n">
        <v>440</v>
      </c>
      <c r="D13" s="80" t="inlineStr">
        <is>
          <t>New gas engine</t>
        </is>
      </c>
      <c r="E13" s="81" t="n">
        <v>0.42</v>
      </c>
      <c r="F13" s="82" t="n">
        <v>3.542146062279643</v>
      </c>
      <c r="G13" s="82" t="n">
        <v>0.07840017816032213</v>
      </c>
      <c r="H13" s="82" t="n">
        <v>0</v>
      </c>
      <c r="I13" s="82" t="n">
        <v>0.2629472377908854</v>
      </c>
      <c r="J13" s="83">
        <f>SUM(F13:I13)</f>
        <v/>
      </c>
      <c r="K13" s="84" t="n">
        <v>0.2898455066464321</v>
      </c>
      <c r="L13" s="84" t="n">
        <v>0.2721603778114374</v>
      </c>
      <c r="M13" s="85">
        <f>K13+L13</f>
        <v/>
      </c>
      <c r="N13" s="86">
        <f>J13+M13</f>
        <v/>
      </c>
      <c r="O13" s="87" t="n">
        <v>1.616733508688793</v>
      </c>
      <c r="P13" s="88" t="n">
        <v>4.591637790993857</v>
      </c>
      <c r="Q13" s="89">
        <f>IF(ABS(N13-4.4454993627)&lt;0.0001,"OK","CHECK")</f>
        <v/>
      </c>
    </row>
    <row r="14">
      <c r="A14" s="80" t="inlineStr">
        <is>
          <t>New CCGT – Visayas 500 MW</t>
        </is>
      </c>
      <c r="B14" s="80" t="inlineStr">
        <is>
          <t>Visayas</t>
        </is>
      </c>
      <c r="C14" s="80" t="n">
        <v>500</v>
      </c>
      <c r="D14" s="80" t="inlineStr">
        <is>
          <t>New CCGT</t>
        </is>
      </c>
      <c r="E14" s="81" t="n">
        <v>0.42</v>
      </c>
      <c r="F14" s="82" t="n">
        <v>3.94388669530116</v>
      </c>
      <c r="G14" s="82" t="n">
        <v>0.07048392690121993</v>
      </c>
      <c r="H14" s="82" t="n">
        <v>0</v>
      </c>
      <c r="I14" s="82" t="n">
        <v>0.2839880315481977</v>
      </c>
      <c r="J14" s="83">
        <f>SUM(F14:I14)</f>
        <v/>
      </c>
      <c r="K14" s="84" t="n">
        <v>0.2408352664316718</v>
      </c>
      <c r="L14" s="84" t="n">
        <v>0.1569769114431724</v>
      </c>
      <c r="M14" s="85">
        <f>K14+L14</f>
        <v/>
      </c>
      <c r="N14" s="86">
        <f>J14+M14</f>
        <v/>
      </c>
      <c r="O14" s="87" t="n">
        <v>1.232759300375206</v>
      </c>
      <c r="P14" s="88" t="n">
        <v>4.218448298406374</v>
      </c>
      <c r="Q14" s="89">
        <f>IF(ABS(N14-4.6961708316)&lt;0.0001,"OK","CHECK")</f>
        <v/>
      </c>
    </row>
    <row r="15">
      <c r="A15" s="80" t="inlineStr">
        <is>
          <t>New OCGT – Visayas 500 MW</t>
        </is>
      </c>
      <c r="B15" s="80" t="inlineStr">
        <is>
          <t>Visayas</t>
        </is>
      </c>
      <c r="C15" s="80" t="n">
        <v>500</v>
      </c>
      <c r="D15" s="80" t="inlineStr">
        <is>
          <t>New OCGT</t>
        </is>
      </c>
      <c r="E15" s="81" t="n">
        <v>0.42</v>
      </c>
      <c r="F15" s="82" t="n">
        <v>2.232126659257657</v>
      </c>
      <c r="G15" s="82" t="n">
        <v>0.05540316190389129</v>
      </c>
      <c r="H15" s="82" t="n">
        <v>0</v>
      </c>
      <c r="I15" s="82" t="n">
        <v>0.1794406070721735</v>
      </c>
      <c r="J15" s="83">
        <f>SUM(F15:I15)</f>
        <v/>
      </c>
      <c r="K15" s="84" t="n">
        <v>0.149314351908768</v>
      </c>
      <c r="L15" s="84" t="n">
        <v>0.307481028199953</v>
      </c>
      <c r="M15" s="85">
        <f>K15+L15</f>
        <v/>
      </c>
      <c r="N15" s="86">
        <f>J15+M15</f>
        <v/>
      </c>
      <c r="O15" s="87" t="n">
        <v>1.980498548143771</v>
      </c>
      <c r="P15" s="88" t="n">
        <v>3.918345137513774</v>
      </c>
      <c r="Q15" s="89">
        <f>IF(ABS(N15-2.9237658083)&lt;0.0001,"OK","CHECK")</f>
        <v/>
      </c>
    </row>
    <row r="16">
      <c r="A16" s="80" t="inlineStr">
        <is>
          <t>New gas engine – Visayas 500 MW</t>
        </is>
      </c>
      <c r="B16" s="80" t="inlineStr">
        <is>
          <t>Visayas</t>
        </is>
      </c>
      <c r="C16" s="80" t="n">
        <v>500</v>
      </c>
      <c r="D16" s="80" t="inlineStr">
        <is>
          <t>New gas engine</t>
        </is>
      </c>
      <c r="E16" s="81" t="n">
        <v>0.42</v>
      </c>
      <c r="F16" s="82" t="n">
        <v>3.54214931541949</v>
      </c>
      <c r="G16" s="82" t="n">
        <v>0.07841082503948879</v>
      </c>
      <c r="H16" s="82" t="n">
        <v>0</v>
      </c>
      <c r="I16" s="82" t="n">
        <v>0.2629380078429988</v>
      </c>
      <c r="J16" s="83">
        <f>SUM(F16:I16)</f>
        <v/>
      </c>
      <c r="K16" s="84" t="n">
        <v>0.2898455066464321</v>
      </c>
      <c r="L16" s="84" t="n">
        <v>0.2721667167670597</v>
      </c>
      <c r="M16" s="85">
        <f>K16+L16</f>
        <v/>
      </c>
      <c r="N16" s="86">
        <f>J16+M16</f>
        <v/>
      </c>
      <c r="O16" s="87" t="n">
        <v>1.616733508688794</v>
      </c>
      <c r="P16" s="88" t="n">
        <v>4.591648799911785</v>
      </c>
      <c r="Q16" s="89">
        <f>IF(ABS(N16-4.4455103717)&lt;0.0001,"OK","CHECK")</f>
        <v/>
      </c>
    </row>
    <row r="18">
      <c r="A18" s="78" t="inlineStr">
        <is>
          <t>Fin90 – historical capacity factor (66.8% existing fleet; 63.1% whole fleet for new-build)</t>
        </is>
      </c>
    </row>
    <row r="19" ht="32" customHeight="1">
      <c r="A19" s="79" t="inlineStr">
        <is>
          <t>Case</t>
        </is>
      </c>
      <c r="B19" s="79" t="inlineStr">
        <is>
          <t>Grid</t>
        </is>
      </c>
      <c r="C19" s="79" t="inlineStr">
        <is>
          <t>MW</t>
        </is>
      </c>
      <c r="D19" s="79" t="inlineStr">
        <is>
          <t>Technology</t>
        </is>
      </c>
      <c r="E19" s="79" t="inlineStr">
        <is>
          <t>Capacity factor</t>
        </is>
      </c>
      <c r="F19" s="79" t="inlineStr">
        <is>
          <t>Capital recovery</t>
        </is>
      </c>
      <c r="G19" s="79" t="inlineStr">
        <is>
          <t>G&amp;A</t>
        </is>
      </c>
      <c r="H19" s="79" t="inlineStr">
        <is>
          <t>Land lease</t>
        </is>
      </c>
      <c r="I19" s="79" t="inlineStr">
        <is>
          <t>Local taxes, ER 1-94</t>
        </is>
      </c>
      <c r="J19" s="79" t="inlineStr">
        <is>
          <t>CRF</t>
        </is>
      </c>
      <c r="K19" s="79" t="inlineStr">
        <is>
          <t>Fixed O&amp;M</t>
        </is>
      </c>
      <c r="L19" s="79" t="inlineStr">
        <is>
          <t>Variable O&amp;M</t>
        </is>
      </c>
      <c r="M19" s="79" t="inlineStr">
        <is>
          <t>OM</t>
        </is>
      </c>
      <c r="N19" s="79" t="inlineStr">
        <is>
          <t>GATP = CRF + OM</t>
        </is>
      </c>
      <c r="O19" s="79" t="inlineStr">
        <is>
          <t>CLLC → Fuel Cost</t>
        </is>
      </c>
      <c r="P19" s="79" t="inlineStr">
        <is>
          <t>Previous GATP (incl. CLLC)</t>
        </is>
      </c>
      <c r="Q19" s="79" t="inlineStr">
        <is>
          <t>Check</t>
        </is>
      </c>
    </row>
    <row r="20">
      <c r="A20" s="80" t="inlineStr">
        <is>
          <t>Lot 1 Existing CCGT – Luzon 1,400 MW</t>
        </is>
      </c>
      <c r="B20" s="80" t="inlineStr">
        <is>
          <t>Luzon</t>
        </is>
      </c>
      <c r="C20" s="80" t="n">
        <v>1400</v>
      </c>
      <c r="D20" s="80" t="inlineStr">
        <is>
          <t>Existing CCGT</t>
        </is>
      </c>
      <c r="E20" s="81" t="n">
        <v>0.6680044139645122</v>
      </c>
      <c r="F20" s="82" t="n">
        <v>0.9349231281474634</v>
      </c>
      <c r="G20" s="82" t="n">
        <v>0.03013266533409306</v>
      </c>
      <c r="H20" s="82" t="n">
        <v>0</v>
      </c>
      <c r="I20" s="82" t="n">
        <v>0.09478627164445091</v>
      </c>
      <c r="J20" s="83">
        <f>SUM(F20:I20)</f>
        <v/>
      </c>
      <c r="K20" s="84" t="n">
        <v>0.1514223705513954</v>
      </c>
      <c r="L20" s="84" t="n">
        <v>0.1368913591210255</v>
      </c>
      <c r="M20" s="85">
        <f>K20+L20</f>
        <v/>
      </c>
      <c r="N20" s="86">
        <f>J20+M20</f>
        <v/>
      </c>
      <c r="O20" s="87" t="n">
        <v>0.774043245330567</v>
      </c>
      <c r="P20" s="88" t="n">
        <v>1.866648379916711</v>
      </c>
      <c r="Q20" s="89">
        <f>IF(ABS(N20-1.3481557948)&lt;0.0001,"OK","CHECK")</f>
        <v/>
      </c>
    </row>
    <row r="21">
      <c r="A21" s="80" t="inlineStr">
        <is>
          <t>Lot 2 Existing CCGT – Luzon 500 MW</t>
        </is>
      </c>
      <c r="B21" s="80" t="inlineStr">
        <is>
          <t>Luzon</t>
        </is>
      </c>
      <c r="C21" s="80" t="n">
        <v>500</v>
      </c>
      <c r="D21" s="80" t="inlineStr">
        <is>
          <t>Existing CCGT</t>
        </is>
      </c>
      <c r="E21" s="81" t="n">
        <v>0.6680044139645122</v>
      </c>
      <c r="F21" s="82" t="n">
        <v>0.9349145331365989</v>
      </c>
      <c r="G21" s="82" t="n">
        <v>0.03010101077456997</v>
      </c>
      <c r="H21" s="82" t="n">
        <v>0</v>
      </c>
      <c r="I21" s="82" t="n">
        <v>0.09481369843229404</v>
      </c>
      <c r="J21" s="83">
        <f>SUM(F21:I21)</f>
        <v/>
      </c>
      <c r="K21" s="84" t="n">
        <v>0.1514223705513955</v>
      </c>
      <c r="L21" s="84" t="n">
        <v>0.1368725146336156</v>
      </c>
      <c r="M21" s="85">
        <f>K21+L21</f>
        <v/>
      </c>
      <c r="N21" s="86">
        <f>J21+M21</f>
        <v/>
      </c>
      <c r="O21" s="87" t="n">
        <v>0.7740432453305666</v>
      </c>
      <c r="P21" s="88" t="n">
        <v>1.866616712646755</v>
      </c>
      <c r="Q21" s="89">
        <f>IF(ABS(N21-1.3481241275)&lt;0.0001,"OK","CHECK")</f>
        <v/>
      </c>
    </row>
    <row r="22">
      <c r="A22" s="80" t="inlineStr">
        <is>
          <t>New CCGT – Luzon 1,000 MW</t>
        </is>
      </c>
      <c r="B22" s="80" t="inlineStr">
        <is>
          <t>Luzon</t>
        </is>
      </c>
      <c r="C22" s="80" t="n">
        <v>1000</v>
      </c>
      <c r="D22" s="80" t="inlineStr">
        <is>
          <t>New CCGT</t>
        </is>
      </c>
      <c r="E22" s="81" t="n">
        <v>0.6312409193029385</v>
      </c>
      <c r="F22" s="82" t="n">
        <v>2.623433816359344</v>
      </c>
      <c r="G22" s="82" t="n">
        <v>0.04951818254697807</v>
      </c>
      <c r="H22" s="82" t="n">
        <v>0</v>
      </c>
      <c r="I22" s="82" t="n">
        <v>0.199509657197482</v>
      </c>
      <c r="J22" s="83">
        <f>SUM(F22:I22)</f>
        <v/>
      </c>
      <c r="K22" s="84" t="n">
        <v>0.1602412150546261</v>
      </c>
      <c r="L22" s="84" t="n">
        <v>0.1477172220764529</v>
      </c>
      <c r="M22" s="85">
        <f>K22+L22</f>
        <v/>
      </c>
      <c r="N22" s="86">
        <f>J22+M22</f>
        <v/>
      </c>
      <c r="O22" s="87" t="n">
        <v>0.7435691018136166</v>
      </c>
      <c r="P22" s="88" t="n">
        <v>2.785909662514258</v>
      </c>
      <c r="Q22" s="89">
        <f>IF(ABS(N22-3.1804200932)&lt;0.0001,"OK","CHECK")</f>
        <v/>
      </c>
    </row>
    <row r="23">
      <c r="A23" s="80" t="inlineStr">
        <is>
          <t>New OCGT – Luzon 1,000 MW</t>
        </is>
      </c>
      <c r="B23" s="80" t="inlineStr">
        <is>
          <t>Luzon</t>
        </is>
      </c>
      <c r="C23" s="80" t="n">
        <v>1000</v>
      </c>
      <c r="D23" s="80" t="inlineStr">
        <is>
          <t>New OCGT</t>
        </is>
      </c>
      <c r="E23" s="81" t="n">
        <v>0.6312409193029385</v>
      </c>
      <c r="F23" s="82" t="n">
        <v>1.483531489065016</v>
      </c>
      <c r="G23" s="82" t="n">
        <v>0.04272837587578042</v>
      </c>
      <c r="H23" s="82" t="n">
        <v>0</v>
      </c>
      <c r="I23" s="82" t="n">
        <v>0.1304988872227758</v>
      </c>
      <c r="J23" s="83">
        <f>SUM(F23:I23)</f>
        <v/>
      </c>
      <c r="K23" s="84" t="n">
        <v>0.0993472157523211</v>
      </c>
      <c r="L23" s="84" t="n">
        <v>0.3019264054948317</v>
      </c>
      <c r="M23" s="85">
        <f>K23+L23</f>
        <v/>
      </c>
      <c r="N23" s="86">
        <f>J23+M23</f>
        <v/>
      </c>
      <c r="O23" s="87" t="n">
        <v>1.194586425864495</v>
      </c>
      <c r="P23" s="88" t="n">
        <v>2.596631426479127</v>
      </c>
      <c r="Q23" s="89">
        <f>IF(ABS(N23-2.0580323734)&lt;0.0001,"OK","CHECK")</f>
        <v/>
      </c>
    </row>
    <row r="24">
      <c r="A24" s="80" t="inlineStr">
        <is>
          <t>New gas engine – Luzon 1,000 MW</t>
        </is>
      </c>
      <c r="B24" s="80" t="inlineStr">
        <is>
          <t>Luzon</t>
        </is>
      </c>
      <c r="C24" s="80" t="n">
        <v>1000</v>
      </c>
      <c r="D24" s="80" t="inlineStr">
        <is>
          <t>New gas engine</t>
        </is>
      </c>
      <c r="E24" s="81" t="n">
        <v>0.6312409193029385</v>
      </c>
      <c r="F24" s="82" t="n">
        <v>2.355434166676148</v>
      </c>
      <c r="G24" s="82" t="n">
        <v>0.05712830892326653</v>
      </c>
      <c r="H24" s="82" t="n">
        <v>0</v>
      </c>
      <c r="I24" s="82" t="n">
        <v>0.185900217878147</v>
      </c>
      <c r="J24" s="83">
        <f>SUM(F24:I24)</f>
        <v/>
      </c>
      <c r="K24" s="84" t="n">
        <v>0.1928504776368586</v>
      </c>
      <c r="L24" s="84" t="n">
        <v>0.2632901377160011</v>
      </c>
      <c r="M24" s="85">
        <f>K24+L24</f>
        <v/>
      </c>
      <c r="N24" s="86">
        <f>J24+M24</f>
        <v/>
      </c>
      <c r="O24" s="87" t="n">
        <v>0.9751725925424477</v>
      </c>
      <c r="P24" s="88" t="n">
        <v>3.051306484962811</v>
      </c>
      <c r="Q24" s="89">
        <f>IF(ABS(N24-3.0546033088)&lt;0.0001,"OK","CHECK")</f>
        <v/>
      </c>
    </row>
    <row r="25">
      <c r="A25" s="80" t="inlineStr">
        <is>
          <t>New CCGT – Visayas 440 MW</t>
        </is>
      </c>
      <c r="B25" s="80" t="inlineStr">
        <is>
          <t>Visayas</t>
        </is>
      </c>
      <c r="C25" s="80" t="n">
        <v>440</v>
      </c>
      <c r="D25" s="80" t="inlineStr">
        <is>
          <t>New CCGT</t>
        </is>
      </c>
      <c r="E25" s="81" t="n">
        <v>0.6312409193029385</v>
      </c>
      <c r="F25" s="82" t="n">
        <v>2.62342107764166</v>
      </c>
      <c r="G25" s="82" t="n">
        <v>0.04948522392593631</v>
      </c>
      <c r="H25" s="82" t="n">
        <v>0</v>
      </c>
      <c r="I25" s="82" t="n">
        <v>0.1995382299050175</v>
      </c>
      <c r="J25" s="83">
        <f>SUM(F25:I25)</f>
        <v/>
      </c>
      <c r="K25" s="84" t="n">
        <v>0.1602412150546261</v>
      </c>
      <c r="L25" s="84" t="n">
        <v>0.1476975969983202</v>
      </c>
      <c r="M25" s="85">
        <f>K25+L25</f>
        <v/>
      </c>
      <c r="N25" s="86">
        <f>J25+M25</f>
        <v/>
      </c>
      <c r="O25" s="87" t="n">
        <v>1.232759300375205</v>
      </c>
      <c r="P25" s="88" t="n">
        <v>3.275063111910242</v>
      </c>
      <c r="Q25" s="89">
        <f>IF(ABS(N25-3.1803833435)&lt;0.0001,"OK","CHECK")</f>
        <v/>
      </c>
    </row>
    <row r="26">
      <c r="A26" s="80" t="inlineStr">
        <is>
          <t>New OCGT – Visayas 440 MW</t>
        </is>
      </c>
      <c r="B26" s="80" t="inlineStr">
        <is>
          <t>Visayas</t>
        </is>
      </c>
      <c r="C26" s="80" t="n">
        <v>440</v>
      </c>
      <c r="D26" s="80" t="inlineStr">
        <is>
          <t>New OCGT</t>
        </is>
      </c>
      <c r="E26" s="81" t="n">
        <v>0.6312409193029385</v>
      </c>
      <c r="F26" s="82" t="n">
        <v>1.483520381743764</v>
      </c>
      <c r="G26" s="82" t="n">
        <v>0.04269534952776186</v>
      </c>
      <c r="H26" s="82" t="n">
        <v>0</v>
      </c>
      <c r="I26" s="82" t="n">
        <v>0.1305275168664224</v>
      </c>
      <c r="J26" s="83">
        <f>SUM(F26:I26)</f>
        <v/>
      </c>
      <c r="K26" s="84" t="n">
        <v>0.0993472157523211</v>
      </c>
      <c r="L26" s="84" t="n">
        <v>0.3019067415325195</v>
      </c>
      <c r="M26" s="85">
        <f>K26+L26</f>
        <v/>
      </c>
      <c r="N26" s="86">
        <f>J26+M26</f>
        <v/>
      </c>
      <c r="O26" s="87" t="n">
        <v>1.980498548143771</v>
      </c>
      <c r="P26" s="88" t="n">
        <v>3.382508381400652</v>
      </c>
      <c r="Q26" s="89">
        <f>IF(ABS(N26-2.0579972054)&lt;0.0001,"OK","CHECK")</f>
        <v/>
      </c>
    </row>
    <row r="27">
      <c r="A27" s="80" t="inlineStr">
        <is>
          <t>New gas engine – Visayas 440 MW</t>
        </is>
      </c>
      <c r="B27" s="80" t="inlineStr">
        <is>
          <t>Visayas</t>
        </is>
      </c>
      <c r="C27" s="80" t="n">
        <v>440</v>
      </c>
      <c r="D27" s="80" t="inlineStr">
        <is>
          <t>New gas engine</t>
        </is>
      </c>
      <c r="E27" s="81" t="n">
        <v>0.6312409193029385</v>
      </c>
      <c r="F27" s="82" t="n">
        <v>2.355424065563553</v>
      </c>
      <c r="G27" s="82" t="n">
        <v>0.05709525041504129</v>
      </c>
      <c r="H27" s="82" t="n">
        <v>0</v>
      </c>
      <c r="I27" s="82" t="n">
        <v>0.1859288768203355</v>
      </c>
      <c r="J27" s="83">
        <f>SUM(F27:I27)</f>
        <v/>
      </c>
      <c r="K27" s="84" t="n">
        <v>0.1928504776368586</v>
      </c>
      <c r="L27" s="84" t="n">
        <v>0.2632704552895065</v>
      </c>
      <c r="M27" s="85">
        <f>K27+L27</f>
        <v/>
      </c>
      <c r="N27" s="86">
        <f>J27+M27</f>
        <v/>
      </c>
      <c r="O27" s="87" t="n">
        <v>1.616733528166195</v>
      </c>
      <c r="P27" s="88" t="n">
        <v>3.692833237740226</v>
      </c>
      <c r="Q27" s="89">
        <f>IF(ABS(N27-3.0545691257)&lt;0.0001,"OK","CHECK")</f>
        <v/>
      </c>
    </row>
    <row r="28">
      <c r="A28" s="80" t="inlineStr">
        <is>
          <t>New CCGT – Visayas 500 MW</t>
        </is>
      </c>
      <c r="B28" s="80" t="inlineStr">
        <is>
          <t>Visayas</t>
        </is>
      </c>
      <c r="C28" s="80" t="n">
        <v>500</v>
      </c>
      <c r="D28" s="80" t="inlineStr">
        <is>
          <t>New CCGT</t>
        </is>
      </c>
      <c r="E28" s="81" t="n">
        <v>0.6312409193029385</v>
      </c>
      <c r="F28" s="82" t="n">
        <v>2.623423807311532</v>
      </c>
      <c r="G28" s="82" t="n">
        <v>0.04949228648765837</v>
      </c>
      <c r="H28" s="82" t="n">
        <v>0</v>
      </c>
      <c r="I28" s="82" t="n">
        <v>0.1995321071813534</v>
      </c>
      <c r="J28" s="83">
        <f>SUM(F28:I28)</f>
        <v/>
      </c>
      <c r="K28" s="84" t="n">
        <v>0.1602412150546261</v>
      </c>
      <c r="L28" s="84" t="n">
        <v>0.1477018023722461</v>
      </c>
      <c r="M28" s="85">
        <f>K28+L28</f>
        <v/>
      </c>
      <c r="N28" s="86">
        <f>J28+M28</f>
        <v/>
      </c>
      <c r="O28" s="87" t="n">
        <v>1.232759300375205</v>
      </c>
      <c r="P28" s="88" t="n">
        <v>3.275070986639969</v>
      </c>
      <c r="Q28" s="89">
        <f>IF(ABS(N28-3.1803912184)&lt;0.0001,"OK","CHECK")</f>
        <v/>
      </c>
    </row>
    <row r="29">
      <c r="A29" s="80" t="inlineStr">
        <is>
          <t>New OCGT – Visayas 500 MW</t>
        </is>
      </c>
      <c r="B29" s="80" t="inlineStr">
        <is>
          <t>Visayas</t>
        </is>
      </c>
      <c r="C29" s="80" t="n">
        <v>500</v>
      </c>
      <c r="D29" s="80" t="inlineStr">
        <is>
          <t>New OCGT</t>
        </is>
      </c>
      <c r="E29" s="81" t="n">
        <v>0.6312409193029385</v>
      </c>
      <c r="F29" s="82" t="n">
        <v>1.483522761824987</v>
      </c>
      <c r="G29" s="82" t="n">
        <v>0.04270242660237237</v>
      </c>
      <c r="H29" s="82" t="n">
        <v>0</v>
      </c>
      <c r="I29" s="82" t="n">
        <v>0.1305213819421677</v>
      </c>
      <c r="J29" s="83">
        <f>SUM(F29:I29)</f>
        <v/>
      </c>
      <c r="K29" s="84" t="n">
        <v>0.0993472157523211</v>
      </c>
      <c r="L29" s="84" t="n">
        <v>0.3019109552387494</v>
      </c>
      <c r="M29" s="85">
        <f>K29+L29</f>
        <v/>
      </c>
      <c r="N29" s="86">
        <f>J29+M29</f>
        <v/>
      </c>
      <c r="O29" s="87" t="n">
        <v>1.980498548143772</v>
      </c>
      <c r="P29" s="88" t="n">
        <v>3.382515917162146</v>
      </c>
      <c r="Q29" s="89">
        <f>IF(ABS(N29-2.0580047414)&lt;0.0001,"OK","CHECK")</f>
        <v/>
      </c>
    </row>
    <row r="30">
      <c r="A30" s="80" t="inlineStr">
        <is>
          <t>New gas engine – Visayas 500 MW</t>
        </is>
      </c>
      <c r="B30" s="80" t="inlineStr">
        <is>
          <t>Visayas</t>
        </is>
      </c>
      <c r="C30" s="80" t="n">
        <v>500</v>
      </c>
      <c r="D30" s="80" t="inlineStr">
        <is>
          <t>New gas engine</t>
        </is>
      </c>
      <c r="E30" s="81" t="n">
        <v>0.6312409193029385</v>
      </c>
      <c r="F30" s="82" t="n">
        <v>2.355426230060016</v>
      </c>
      <c r="G30" s="82" t="n">
        <v>0.05710233438110449</v>
      </c>
      <c r="H30" s="82" t="n">
        <v>0</v>
      </c>
      <c r="I30" s="82" t="n">
        <v>0.1859227356181512</v>
      </c>
      <c r="J30" s="83">
        <f>SUM(F30:I30)</f>
        <v/>
      </c>
      <c r="K30" s="84" t="n">
        <v>0.1928504776368586</v>
      </c>
      <c r="L30" s="84" t="n">
        <v>0.2632746729523353</v>
      </c>
      <c r="M30" s="85">
        <f>K30+L30</f>
        <v/>
      </c>
      <c r="N30" s="86">
        <f>J30+M30</f>
        <v/>
      </c>
      <c r="O30" s="87" t="n">
        <v>1.616733528558621</v>
      </c>
      <c r="P30" s="88" t="n">
        <v>3.692840562983414</v>
      </c>
      <c r="Q30" s="89">
        <f>IF(ABS(N30-3.0545764506)&lt;0.0001,"OK","CHECK")</f>
        <v/>
      </c>
    </row>
    <row r="32">
      <c r="A32" s="90" t="inlineStr">
        <is>
          <t>How to read</t>
        </is>
      </c>
    </row>
    <row r="33">
      <c r="A33" s="91" t="inlineStr">
        <is>
          <t>• GATP is the bid ceiling (TOR Sec. 4.3, 8.3.3). A Price Offer above it is disqualified.</t>
        </is>
      </c>
    </row>
    <row r="34">
      <c r="A34" s="91" t="inlineStr">
        <is>
          <t>• CRF and OM add up to the GATP solved in each model (equity NPV = 0 at Re 14%, Sec. 8.4); the Check column confirms it.</t>
        </is>
      </c>
    </row>
    <row r="35">
      <c r="A35" s="91" t="inlineStr">
        <is>
          <t>• "CLLC → Fuel Cost" is the logistics cost per kWh that the previous draft carried inside the GATP. It is now paid monthly through the Fuel Cost at actual cost, up to the Sec. 17 caps.</t>
        </is>
      </c>
    </row>
    <row r="36">
      <c r="A36" s="91" t="inlineStr">
        <is>
          <t>• Fuel (gas commodity) is never in the GATP. It is paid through the Fuel Cost up to the Gas Price Benchmark.</t>
        </is>
      </c>
    </row>
    <row r="37">
      <c r="A37" s="91" t="inlineStr">
        <is>
          <t>• Visayas 440 MW and 500 MW give the same rate because the model is per kW.</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4" customWidth="1" min="1" max="1"/>
    <col width="12" customWidth="1" min="2" max="2"/>
    <col width="30" customWidth="1" min="3" max="3"/>
    <col width="18" customWidth="1" min="4" max="4"/>
    <col width="26" customWidth="1" min="5" max="5"/>
    <col width="52" customWidth="1" min="6" max="6"/>
  </cols>
  <sheetData>
    <row r="1" ht="30" customHeight="1">
      <c r="A1" s="68" t="inlineStr">
        <is>
          <t>What the GAT Price is made of</t>
        </is>
      </c>
      <c r="B1" s="69" t="n"/>
      <c r="C1" s="69" t="n"/>
      <c r="D1" s="69" t="n"/>
      <c r="E1" s="69" t="n"/>
      <c r="F1" s="69" t="n"/>
    </row>
    <row r="2">
      <c r="A2" s="70" t="inlineStr">
        <is>
          <t>GAIR Sec. 5, 8.6, 9, 13.4, 17, 18 as decided on 19 Oct 2026; DOE DC2026-06-0013 Sec. 4, 6.1(a), 7.2, 18.2.2; TOR Sec. 4.2, 4.3, 17.</t>
        </is>
      </c>
      <c r="B2" s="69" t="n"/>
      <c r="C2" s="69" t="n"/>
      <c r="D2" s="69" t="n"/>
      <c r="E2" s="69" t="n"/>
      <c r="F2" s="69" t="n"/>
    </row>
    <row r="4" ht="30" customHeight="1">
      <c r="A4" s="92" t="inlineStr">
        <is>
          <t>Component</t>
        </is>
      </c>
      <c r="B4" s="92" t="inlineStr">
        <is>
          <t>In the GATP?</t>
        </is>
      </c>
      <c r="C4" s="92" t="inlineStr">
        <is>
          <t>Where it is recovered</t>
        </is>
      </c>
      <c r="D4" s="92" t="inlineStr">
        <is>
          <t>GAIR section</t>
        </is>
      </c>
      <c r="E4" s="92" t="inlineStr">
        <is>
          <t>Model source</t>
        </is>
      </c>
      <c r="F4" s="92" t="inlineStr">
        <is>
          <t>Note</t>
        </is>
      </c>
    </row>
    <row r="5" ht="30" customHeight="1">
      <c r="A5" s="93" t="inlineStr">
        <is>
          <t>Return of capital (depreciation) and return on equity (Re)</t>
        </is>
      </c>
      <c r="B5" s="94" t="inlineStr">
        <is>
          <t>Yes – CRF</t>
        </is>
      </c>
      <c r="C5" s="93" t="inlineStr">
        <is>
          <t>GAP (bid price)</t>
        </is>
      </c>
      <c r="D5" s="93" t="inlineStr">
        <is>
          <t>Sec. 8.4, 8.6</t>
        </is>
      </c>
      <c r="E5" s="93" t="inlineStr">
        <is>
          <t>Tariff Breakdown A4</t>
        </is>
      </c>
      <c r="F5" s="93" t="inlineStr">
        <is>
          <t>Solved so that equity NPV = 0 at Re.</t>
        </is>
      </c>
    </row>
    <row r="6" ht="30" customHeight="1">
      <c r="A6" s="93" t="inlineStr">
        <is>
          <t>Interest and financing costs</t>
        </is>
      </c>
      <c r="B6" s="94" t="inlineStr">
        <is>
          <t>Yes – CRF</t>
        </is>
      </c>
      <c r="C6" s="93" t="inlineStr">
        <is>
          <t>GAP</t>
        </is>
      </c>
      <c r="D6" s="93" t="inlineStr">
        <is>
          <t>Sec. 8.2, 8.8.1</t>
        </is>
      </c>
      <c r="E6" s="93" t="inlineStr">
        <is>
          <t>Tariff Breakdown A4</t>
        </is>
      </c>
      <c r="F6" s="93" t="inlineStr">
        <is>
          <t>Local and foreign debt tranches.</t>
        </is>
      </c>
    </row>
    <row r="7" ht="30" customHeight="1">
      <c r="A7" s="93" t="inlineStr">
        <is>
          <t>Income tax</t>
        </is>
      </c>
      <c r="B7" s="94" t="inlineStr">
        <is>
          <t>Yes – CRF</t>
        </is>
      </c>
      <c r="C7" s="93" t="inlineStr">
        <is>
          <t>GAP</t>
        </is>
      </c>
      <c r="D7" s="93" t="inlineStr">
        <is>
          <t>Sec. 8.8.5</t>
        </is>
      </c>
      <c r="E7" s="93" t="inlineStr">
        <is>
          <t>Tariff Breakdown A4</t>
        </is>
      </c>
      <c r="F7" s="93" t="inlineStr">
        <is>
          <t>25% CREATE rate; no incentive assumed.</t>
        </is>
      </c>
    </row>
    <row r="8" ht="30" customHeight="1">
      <c r="A8" s="93" t="inlineStr">
        <is>
          <t>Major maintenance / refurbishment</t>
        </is>
      </c>
      <c r="B8" s="94" t="inlineStr">
        <is>
          <t>Yes – CRF</t>
        </is>
      </c>
      <c r="C8" s="93" t="inlineStr">
        <is>
          <t>GAP</t>
        </is>
      </c>
      <c r="D8" s="93" t="inlineStr">
        <is>
          <t>Sec. 8.8.3, A.21</t>
        </is>
      </c>
      <c r="E8" s="93" t="inlineStr">
        <is>
          <t>Operating Period</t>
        </is>
      </c>
      <c r="F8" s="93" t="inlineStr">
        <is>
          <t>Capital outflow in the refurbishment year.</t>
        </is>
      </c>
    </row>
    <row r="9" ht="30" customHeight="1">
      <c r="A9" s="93" t="inlineStr">
        <is>
          <t>General and administrative (G&amp;A)</t>
        </is>
      </c>
      <c r="B9" s="94" t="inlineStr">
        <is>
          <t>Yes – CRF</t>
        </is>
      </c>
      <c r="C9" s="93" t="inlineStr">
        <is>
          <t>GAP</t>
        </is>
      </c>
      <c r="D9" s="93" t="inlineStr">
        <is>
          <t>Annex A.6</t>
        </is>
      </c>
      <c r="E9" s="93" t="inlineStr">
        <is>
          <t>Financials E12</t>
        </is>
      </c>
      <c r="F9" s="93" t="inlineStr">
        <is>
          <t>Overhead.</t>
        </is>
      </c>
    </row>
    <row r="10" ht="30" customHeight="1">
      <c r="A10" s="93" t="inlineStr">
        <is>
          <t>Land lease</t>
        </is>
      </c>
      <c r="B10" s="94" t="inlineStr">
        <is>
          <t>Yes – CRF</t>
        </is>
      </c>
      <c r="C10" s="93" t="inlineStr">
        <is>
          <t>GAP</t>
        </is>
      </c>
      <c r="D10" s="93" t="inlineStr">
        <is>
          <t>Sec. 8.8.3</t>
        </is>
      </c>
      <c r="E10" s="93" t="inlineStr">
        <is>
          <t>Financials E13</t>
        </is>
      </c>
      <c r="F10" s="93" t="inlineStr">
        <is>
          <t>Zero in these cases (land is in capital cost).</t>
        </is>
      </c>
    </row>
    <row r="11" ht="30" customHeight="1">
      <c r="A11" s="93" t="inlineStr">
        <is>
          <t>Local taxes and ER 1-94 benefit</t>
        </is>
      </c>
      <c r="B11" s="94" t="inlineStr">
        <is>
          <t>Yes – CRF</t>
        </is>
      </c>
      <c r="C11" s="93" t="inlineStr">
        <is>
          <t>GAP</t>
        </is>
      </c>
      <c r="D11" s="93" t="inlineStr">
        <is>
          <t>Sec. 8.8.3</t>
        </is>
      </c>
      <c r="E11" s="93" t="inlineStr">
        <is>
          <t>Financials E14</t>
        </is>
      </c>
      <c r="F11" s="93" t="inlineStr">
        <is>
          <t>RPT, LBT, host-community benefit.</t>
        </is>
      </c>
    </row>
    <row r="12" ht="30" customHeight="1">
      <c r="A12" s="95" t="inlineStr">
        <is>
          <t>Fixed O&amp;M</t>
        </is>
      </c>
      <c r="B12" s="96" t="inlineStr">
        <is>
          <t>Yes – OM</t>
        </is>
      </c>
      <c r="C12" s="95" t="inlineStr">
        <is>
          <t>GAP</t>
        </is>
      </c>
      <c r="D12" s="95" t="inlineStr">
        <is>
          <t>Annex A.4</t>
        </is>
      </c>
      <c r="E12" s="95" t="inlineStr">
        <is>
          <t>Financials E10</t>
        </is>
      </c>
      <c r="F12" s="95" t="inlineStr">
        <is>
          <t>Stays in the bid: DC Sec. 6.1(a) "constructing and operating".</t>
        </is>
      </c>
    </row>
    <row r="13" ht="30" customHeight="1">
      <c r="A13" s="95" t="inlineStr">
        <is>
          <t>Variable non-fuel O&amp;M</t>
        </is>
      </c>
      <c r="B13" s="96" t="inlineStr">
        <is>
          <t>Yes – OM</t>
        </is>
      </c>
      <c r="C13" s="95" t="inlineStr">
        <is>
          <t>GAP</t>
        </is>
      </c>
      <c r="D13" s="95" t="inlineStr">
        <is>
          <t>Annex A.5</t>
        </is>
      </c>
      <c r="E13" s="95" t="inlineStr">
        <is>
          <t>Tariff Breakdown A8 + A9</t>
        </is>
      </c>
      <c r="F13" s="95" t="inlineStr">
        <is>
          <t>Now excludes logistics (CLLC).</t>
        </is>
      </c>
    </row>
    <row r="14" ht="30" customHeight="1">
      <c r="A14" s="97" t="inlineStr">
        <is>
          <t>Capped Landed Logistics Cost (CLLC)</t>
        </is>
      </c>
      <c r="B14" s="98" t="inlineStr">
        <is>
          <t>No</t>
        </is>
      </c>
      <c r="C14" s="97" t="inlineStr">
        <is>
          <t>Fuel Cost (FC = FCC + CLLC)</t>
        </is>
      </c>
      <c r="D14" s="97" t="inlineStr">
        <is>
          <t>Sec. 13.4, 17, 18</t>
        </is>
      </c>
      <c r="E14" s="97" t="inlineStr">
        <is>
          <t>GATP Build-up row 20</t>
        </is>
      </c>
      <c r="F14" s="97" t="inlineStr">
        <is>
          <t>Paid at actual cost up to the Sec. 17 caps; per Fuel Source Category caps allowed.</t>
        </is>
      </c>
    </row>
    <row r="15" ht="30" customHeight="1">
      <c r="A15" s="97" t="inlineStr">
        <is>
          <t>Fuel commodity (Reference Gas Price × heat rate)</t>
        </is>
      </c>
      <c r="B15" s="98" t="inlineStr">
        <is>
          <t>No</t>
        </is>
      </c>
      <c r="C15" s="97" t="inlineStr">
        <is>
          <t>Fuel Cost (FCC)</t>
        </is>
      </c>
      <c r="D15" s="97" t="inlineStr">
        <is>
          <t>Sec. 14–16, 18</t>
        </is>
      </c>
      <c r="E15" s="97" t="inlineStr">
        <is>
          <t>—</t>
        </is>
      </c>
      <c r="F15" s="97" t="inlineStr">
        <is>
          <t>Capped by the Gas Price Benchmark and Reference Heat Rate Cap.</t>
        </is>
      </c>
    </row>
    <row r="16" ht="30" customHeight="1">
      <c r="A16" s="97" t="inlineStr">
        <is>
          <t>Transmission / interconnection (ATP)</t>
        </is>
      </c>
      <c r="B16" s="98" t="inlineStr">
        <is>
          <t>No</t>
        </is>
      </c>
      <c r="C16" s="97" t="inlineStr">
        <is>
          <t>TNP reimbursement</t>
        </is>
      </c>
      <c r="D16" s="97" t="inlineStr">
        <is>
          <t>Sec. 9.3</t>
        </is>
      </c>
      <c r="E16" s="97" t="inlineStr">
        <is>
          <t>—</t>
        </is>
      </c>
      <c r="F16" s="97" t="inlineStr">
        <is>
          <t>Reference plant assumes NGCP builds it.</t>
        </is>
      </c>
    </row>
    <row r="18">
      <c r="A18" s="91" t="inlineStr">
        <is>
          <t>• GATP = CRF + OM. Bidders compete on this number; a Price Offer above it is disqualified.</t>
        </is>
      </c>
    </row>
    <row r="19">
      <c r="A19" s="91" t="inlineStr">
        <is>
          <t>• Settlement: MMSA = Energy Delivered × (GAP + FC), DOE DC Sec. 7.2. FC = FCC + CLLC, each component at the lesser of actual prudent cost and its cap.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30" customWidth="1" min="2" max="2"/>
    <col width="12" customWidth="1" min="3" max="3"/>
    <col width="13" customWidth="1" min="4" max="4"/>
    <col width="12" customWidth="1" min="5" max="5"/>
    <col width="11" customWidth="1" min="6" max="6"/>
    <col width="11" customWidth="1" min="7" max="7"/>
    <col width="12" customWidth="1" min="8" max="8"/>
    <col width="14" customWidth="1" min="9" max="9"/>
    <col width="14" customWidth="1" min="10" max="10"/>
  </cols>
  <sheetData>
    <row r="1" ht="30" customHeight="1">
      <c r="A1" s="68" t="inlineStr">
        <is>
          <t>GAT Price by lot and variation – PhP/kWh, excluding fuel, 30-year cost recovery</t>
        </is>
      </c>
      <c r="B1" s="69" t="n"/>
      <c r="C1" s="69" t="n"/>
      <c r="D1" s="69" t="n"/>
      <c r="E1" s="69" t="n"/>
      <c r="F1" s="69" t="n"/>
      <c r="G1" s="69" t="n"/>
      <c r="H1" s="69" t="n"/>
      <c r="I1" s="69" t="n"/>
      <c r="J1" s="69" t="n"/>
    </row>
    <row r="2">
      <c r="A2" s="70" t="inlineStr">
        <is>
          <t>GATP = CRF + OM (decision of 19 Oct 2026); capex at market +25%. Previous-draft values kept for comparison.</t>
        </is>
      </c>
      <c r="B2" s="69" t="n"/>
      <c r="C2" s="69" t="n"/>
      <c r="D2" s="69" t="n"/>
      <c r="E2" s="69" t="n"/>
      <c r="F2" s="69" t="n"/>
      <c r="G2" s="69" t="n"/>
      <c r="H2" s="69" t="n"/>
      <c r="I2" s="69" t="n"/>
      <c r="J2" s="69" t="n"/>
    </row>
    <row r="4" ht="32" customHeight="1">
      <c r="A4" s="79" t="inlineStr">
        <is>
          <t>Case</t>
        </is>
      </c>
      <c r="B4" s="79" t="inlineStr">
        <is>
          <t>TOR capacity factor</t>
        </is>
      </c>
      <c r="C4" s="79" t="inlineStr">
        <is>
          <t>TOR supply period</t>
        </is>
      </c>
      <c r="D4" s="79" t="inlineStr">
        <is>
          <t>Construction (months)</t>
        </is>
      </c>
      <c r="E4" s="79" t="inlineStr">
        <is>
          <t>Recovery period (yrs)</t>
        </is>
      </c>
      <c r="F4" s="79" t="inlineStr">
        <is>
          <t>Fin42 GATP</t>
        </is>
      </c>
      <c r="G4" s="79" t="inlineStr">
        <is>
          <t>Fin90 GATP</t>
        </is>
      </c>
      <c r="H4" s="79" t="inlineStr">
        <is>
          <t>Fin90 minus Fin42</t>
        </is>
      </c>
      <c r="I4" s="79" t="inlineStr">
        <is>
          <t>Fin42 previous (incl. CLLC)</t>
        </is>
      </c>
      <c r="J4" s="79" t="inlineStr">
        <is>
          <t>Fin90 previous (incl. CLLC)</t>
        </is>
      </c>
    </row>
    <row r="5">
      <c r="A5" s="99" t="inlineStr">
        <is>
          <t>Lot 1 Existing CCGT – Luzon 1,400 MW</t>
        </is>
      </c>
      <c r="B5" s="99" t="inlineStr">
        <is>
          <t>38%–42% + 22%–24% non-mid-merit</t>
        </is>
      </c>
      <c r="C5" s="99" t="inlineStr">
        <is>
          <t>5 + 5 yrs</t>
        </is>
      </c>
      <c r="D5" s="99" t="n">
        <v>0</v>
      </c>
      <c r="E5" s="99" t="n">
        <v>30</v>
      </c>
      <c r="F5" s="100" t="n">
        <v>2.12354528738614</v>
      </c>
      <c r="G5" s="100" t="n">
        <v>1.348155794798428</v>
      </c>
      <c r="H5" s="101">
        <f>G5-F5</f>
        <v/>
      </c>
      <c r="I5" s="102" t="n">
        <v>2.933449032397625</v>
      </c>
      <c r="J5" s="102" t="n">
        <v>1.866648379916711</v>
      </c>
    </row>
    <row r="6">
      <c r="A6" s="99" t="inlineStr">
        <is>
          <t>Lot 2 Existing CCGT – Luzon 500 MW</t>
        </is>
      </c>
      <c r="B6" s="99" t="inlineStr">
        <is>
          <t>37%–42%</t>
        </is>
      </c>
      <c r="C6" s="99" t="inlineStr">
        <is>
          <t>10 yrs</t>
        </is>
      </c>
      <c r="D6" s="99" t="n">
        <v>0</v>
      </c>
      <c r="E6" s="99" t="n">
        <v>30</v>
      </c>
      <c r="F6" s="100" t="n">
        <v>2.045774398601298</v>
      </c>
      <c r="G6" s="100" t="n">
        <v>1.348124127528474</v>
      </c>
      <c r="H6" s="101">
        <f>G6-F6</f>
        <v/>
      </c>
      <c r="I6" s="102" t="n">
        <v>2.413367717709602</v>
      </c>
      <c r="J6" s="102" t="n">
        <v>1.866616712646755</v>
      </c>
    </row>
    <row r="7">
      <c r="A7" s="99" t="inlineStr">
        <is>
          <t>New CCGT – Luzon 1,000 MW</t>
        </is>
      </c>
      <c r="B7" s="99" t="inlineStr">
        <is>
          <t>37%–42%</t>
        </is>
      </c>
      <c r="C7" s="99" t="inlineStr">
        <is>
          <t>20 yrs</t>
        </is>
      </c>
      <c r="D7" s="99" t="n">
        <v>36</v>
      </c>
      <c r="E7" s="99" t="n">
        <v>30</v>
      </c>
      <c r="F7" s="100" t="n">
        <v>4.696214229179318</v>
      </c>
      <c r="G7" s="100" t="n">
        <v>3.180420093234884</v>
      </c>
      <c r="H7" s="101">
        <f>G7-F7</f>
        <v/>
      </c>
      <c r="I7" s="102" t="n">
        <v>3.729301496810136</v>
      </c>
      <c r="J7" s="102" t="n">
        <v>2.785909662514258</v>
      </c>
    </row>
    <row r="8">
      <c r="A8" s="99" t="inlineStr">
        <is>
          <t>New OCGT – Luzon 1,000 MW</t>
        </is>
      </c>
      <c r="B8" s="99" t="inlineStr">
        <is>
          <t>37%–42%</t>
        </is>
      </c>
      <c r="C8" s="99" t="inlineStr">
        <is>
          <t>20 yrs</t>
        </is>
      </c>
      <c r="D8" s="99" t="n">
        <v>24</v>
      </c>
      <c r="E8" s="99" t="n">
        <v>30</v>
      </c>
      <c r="F8" s="100" t="n">
        <v>2.923807338058453</v>
      </c>
      <c r="G8" s="100" t="n">
        <v>2.058032373410724</v>
      </c>
      <c r="H8" s="101">
        <f>G8-F8</f>
        <v/>
      </c>
      <c r="I8" s="102" t="n">
        <v>3.132474544268364</v>
      </c>
      <c r="J8" s="102" t="n">
        <v>2.596631426479127</v>
      </c>
    </row>
    <row r="9">
      <c r="A9" s="99" t="inlineStr">
        <is>
          <t>New gas engine – Luzon 1,000 MW</t>
        </is>
      </c>
      <c r="B9" s="99" t="inlineStr">
        <is>
          <t>37%–42%</t>
        </is>
      </c>
      <c r="C9" s="99" t="inlineStr">
        <is>
          <t>20 yrs</t>
        </is>
      </c>
      <c r="D9" s="99" t="n">
        <v>18</v>
      </c>
      <c r="E9" s="99" t="n">
        <v>30</v>
      </c>
      <c r="F9" s="100" t="n">
        <v>4.445550738342776</v>
      </c>
      <c r="G9" s="100" t="n">
        <v>3.054603308830421</v>
      </c>
      <c r="H9" s="101">
        <f>G9-F9</f>
        <v/>
      </c>
      <c r="I9" s="102" t="n">
        <v>3.950128250112614</v>
      </c>
      <c r="J9" s="102" t="n">
        <v>3.051306484962811</v>
      </c>
    </row>
    <row r="10">
      <c r="A10" s="99" t="inlineStr">
        <is>
          <t>New CCGT – Visayas 440 MW</t>
        </is>
      </c>
      <c r="B10" s="99" t="inlineStr">
        <is>
          <t>37%–42%</t>
        </is>
      </c>
      <c r="C10" s="99" t="inlineStr">
        <is>
          <t>20 yrs</t>
        </is>
      </c>
      <c r="D10" s="99" t="n">
        <v>36</v>
      </c>
      <c r="E10" s="99" t="n">
        <v>30</v>
      </c>
      <c r="F10" s="100" t="n">
        <v>4.696158996035751</v>
      </c>
      <c r="G10" s="100" t="n">
        <v>3.18038334352556</v>
      </c>
      <c r="H10" s="101">
        <f>G10-F10</f>
        <v/>
      </c>
      <c r="I10" s="102" t="n">
        <v>4.218436463045343</v>
      </c>
      <c r="J10" s="102" t="n">
        <v>3.275063111910242</v>
      </c>
    </row>
    <row r="11">
      <c r="A11" s="99" t="inlineStr">
        <is>
          <t>New OCGT – Visayas 440 MW</t>
        </is>
      </c>
      <c r="B11" s="99" t="inlineStr">
        <is>
          <t>37%–42%</t>
        </is>
      </c>
      <c r="C11" s="99" t="inlineStr">
        <is>
          <t>20 yrs</t>
        </is>
      </c>
      <c r="D11" s="99" t="n">
        <v>24</v>
      </c>
      <c r="E11" s="99" t="n">
        <v>30</v>
      </c>
      <c r="F11" s="100" t="n">
        <v>2.923754482170276</v>
      </c>
      <c r="G11" s="100" t="n">
        <v>2.057997205422789</v>
      </c>
      <c r="H11" s="101">
        <f>G11-F11</f>
        <v/>
      </c>
      <c r="I11" s="102" t="n">
        <v>3.9183338116066</v>
      </c>
      <c r="J11" s="102" t="n">
        <v>3.382508381400652</v>
      </c>
    </row>
    <row r="12">
      <c r="A12" s="99" t="inlineStr">
        <is>
          <t>New gas engine – Visayas 440 MW</t>
        </is>
      </c>
      <c r="B12" s="99" t="inlineStr">
        <is>
          <t>37%–42%</t>
        </is>
      </c>
      <c r="C12" s="99" t="inlineStr">
        <is>
          <t>20 yrs</t>
        </is>
      </c>
      <c r="D12" s="99" t="n">
        <v>18</v>
      </c>
      <c r="E12" s="99" t="n">
        <v>30</v>
      </c>
      <c r="F12" s="100" t="n">
        <v>4.44549936268872</v>
      </c>
      <c r="G12" s="100" t="n">
        <v>3.054569125725295</v>
      </c>
      <c r="H12" s="101">
        <f>G12-F12</f>
        <v/>
      </c>
      <c r="I12" s="102" t="n">
        <v>4.591637790993857</v>
      </c>
      <c r="J12" s="102" t="n">
        <v>3.692833237740226</v>
      </c>
    </row>
    <row r="13">
      <c r="A13" s="99" t="inlineStr">
        <is>
          <t>New CCGT – Visayas 500 MW</t>
        </is>
      </c>
      <c r="B13" s="99" t="inlineStr">
        <is>
          <t>37%–42%</t>
        </is>
      </c>
      <c r="C13" s="99" t="inlineStr">
        <is>
          <t>20 yrs</t>
        </is>
      </c>
      <c r="D13" s="99" t="n">
        <v>36</v>
      </c>
      <c r="E13" s="99" t="n">
        <v>30</v>
      </c>
      <c r="F13" s="100" t="n">
        <v>4.696170831625423</v>
      </c>
      <c r="G13" s="100" t="n">
        <v>3.180391218407416</v>
      </c>
      <c r="H13" s="101">
        <f>G13-F13</f>
        <v/>
      </c>
      <c r="I13" s="102" t="n">
        <v>4.218448298406374</v>
      </c>
      <c r="J13" s="102" t="n">
        <v>3.275070986639969</v>
      </c>
    </row>
    <row r="14">
      <c r="A14" s="99" t="inlineStr">
        <is>
          <t>New OCGT – Visayas 500 MW</t>
        </is>
      </c>
      <c r="B14" s="99" t="inlineStr">
        <is>
          <t>37%–42%</t>
        </is>
      </c>
      <c r="C14" s="99" t="inlineStr">
        <is>
          <t>20 yrs</t>
        </is>
      </c>
      <c r="D14" s="99" t="n">
        <v>24</v>
      </c>
      <c r="E14" s="99" t="n">
        <v>30</v>
      </c>
      <c r="F14" s="100" t="n">
        <v>2.923765808342443</v>
      </c>
      <c r="G14" s="100" t="n">
        <v>2.058004741360597</v>
      </c>
      <c r="H14" s="101">
        <f>G14-F14</f>
        <v/>
      </c>
      <c r="I14" s="102" t="n">
        <v>3.918345137513774</v>
      </c>
      <c r="J14" s="102" t="n">
        <v>3.382515917162146</v>
      </c>
    </row>
    <row r="15">
      <c r="A15" s="99" t="inlineStr">
        <is>
          <t>New gas engine – Visayas 500 MW</t>
        </is>
      </c>
      <c r="B15" s="99" t="inlineStr">
        <is>
          <t>37%–42%</t>
        </is>
      </c>
      <c r="C15" s="99" t="inlineStr">
        <is>
          <t>20 yrs</t>
        </is>
      </c>
      <c r="D15" s="99" t="n">
        <v>18</v>
      </c>
      <c r="E15" s="99" t="n">
        <v>30</v>
      </c>
      <c r="F15" s="100" t="n">
        <v>4.44551037171547</v>
      </c>
      <c r="G15" s="100" t="n">
        <v>3.054576450648465</v>
      </c>
      <c r="H15" s="101">
        <f>G15-F15</f>
        <v/>
      </c>
      <c r="I15" s="102" t="n">
        <v>4.591648799911785</v>
      </c>
      <c r="J15" s="102" t="n">
        <v>3.692840562983414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50" customWidth="1" min="1" max="1"/>
  </cols>
  <sheetData>
    <row r="1" ht="20" customHeight="1">
      <c r="A1" s="103" t="inlineStr">
        <is>
          <t>FinModel: GAT Price (GATP) for every DOE TOR lot and variation  (revised 20 Oct 2026)</t>
        </is>
      </c>
    </row>
    <row r="2" ht="15" customHeight="1">
      <c r="A2" s="104" t="inlineStr">
        <is>
          <t>GATP = CRF + OM (GAIR Sec. 8.6, decision of 19 Oct 2026). The Capped Landed Logistics Cost (CLLC) is no longer in the GATP; it is paid through the Fuel Cost (FC = FCC + CLLC). Rates are PhP/kWh, excluding fuel.</t>
        </is>
      </c>
    </row>
    <row r="3" ht="20" customHeight="1">
      <c r="A3" s="105" t="inlineStr">
        <is>
          <t>WHAT CHANGED ON 20 OCT 2026</t>
        </is>
      </c>
    </row>
    <row r="4" ht="30" customHeight="1">
      <c r="A4" s="106" t="inlineStr">
        <is>
          <t>• All 22 models (Fin42 and Fin90) were re-solved with the CLLC removed from the variable O&amp;M input (F37). Each new GATP matches the earlier "GATP excl. CLLC" re-solve to within 1e-14.</t>
        </is>
      </c>
    </row>
    <row r="5" ht="45" customHeight="1">
      <c r="A5" s="106" t="inlineStr">
        <is>
          <t>• Each model has a new "GATP Build-up" sheet: CRF and OM components (linked to the model), the CLLC now in the Fuel Cost, and the previous-draft GATP for comparison, with a chart.</t>
        </is>
      </c>
    </row>
    <row r="6" ht="20" customHeight="1">
      <c r="A6" s="106" t="inlineStr">
        <is>
          <t>• Capital cost raised to market +25% (20 Oct 2026): existing CCGT US$600/kW (was 450); new CCGT US$1,500/kW (was 1,200, originally 900), gas engine US$1,375/kW (1,100; 850), OCGT US$875/kW (700; 520). Equipment cost (F15) recalibrated and the GATP re-solved for all 22 models.</t>
        </is>
      </c>
    </row>
    <row r="7" ht="30" customHeight="1">
      <c r="A7" s="106" t="inlineStr">
        <is>
          <t>• Passwords and protection are unchanged ("yolo" to open). The COMPUTE GAT PRICE button still runs the solver macro.</t>
        </is>
      </c>
    </row>
    <row r="8" ht="45" customHeight="1">
      <c r="A8" s="105" t="inlineStr">
        <is>
          <t>BASIS</t>
        </is>
      </c>
    </row>
    <row r="9" ht="30" customHeight="1">
      <c r="A9" s="106" t="inlineStr">
        <is>
          <t>• Cost recovery over 30 years for every plant: the ERC economic life, even where the TOR contract is shorter (Lot 1: 5 + 5 yrs; Lot 2: 10 yrs; new-build: 20 yrs).</t>
        </is>
      </c>
    </row>
    <row r="10" ht="20" customHeight="1">
      <c r="A10" s="106" t="inlineStr">
        <is>
          <t>• Existing plants (Lots 1 and 2): zero construction period; capital at year 0.</t>
        </is>
      </c>
    </row>
    <row r="11" ht="45" customHeight="1">
      <c r="A11" s="105" t="inlineStr">
        <is>
          <t>FOLDERS</t>
        </is>
      </c>
    </row>
    <row r="12" ht="20" customHeight="1">
      <c r="A12" s="106" t="inlineStr">
        <is>
          <t>Fin42/  TOR capacity factor 42% (top of every TOR band). Lot 1 adds 24% non-mid-merit energy paid fuel only (TOR 4.2.2); its variable O&amp;M is carried by GAP-paid energy.</t>
        </is>
      </c>
    </row>
    <row r="13" ht="45" customHeight="1">
      <c r="A13" s="106" t="inlineStr">
        <is>
          <t>Fin90/  actual historical capacity factor of Meralco's gas suppliers, Jan 2024–Sep 2026: 66.8% existing fleet (Lots 1, 2); 63.1% whole fleet (new-build). The folder keeps the requested name.</t>
        </is>
      </c>
    </row>
    <row r="14" ht="20" customHeight="1">
      <c r="A14" s="105" t="inlineStr">
        <is>
          <t>TABS</t>
        </is>
      </c>
    </row>
    <row r="15" ht="30" customHeight="1">
      <c r="A15" s="106" t="inlineStr">
        <is>
          <t>Dashboard: GATP ranges and charts.  Parameters: every Inputs &amp; Assumptions value of all 22 models, by section.  GATP_Summary: CRF and OM build-up per case.  GATP_Composition: what is in and out of the GATP.  Rates: GATP side by side, with previous values.  Parameters: every model input per file (changed rows shaded yellow).  TOR_Conditions, Historical_CF, References.</t>
        </is>
      </c>
    </row>
    <row r="16" ht="15" customHeight="1">
      <c r="A16" s="105" t="inlineStr">
        <is>
          <t>CAVEATS</t>
        </is>
      </c>
    </row>
    <row r="17" ht="15" customHeight="1">
      <c r="A17" s="106" t="inlineStr">
        <is>
          <t>1. OCGT and gas engines look cheap because fuel is excluded; their higher heat rate shows up in the Fuel Cost (and, now, in the CLLC per kWh).</t>
        </is>
      </c>
    </row>
    <row r="18" ht="15" customHeight="1">
      <c r="A18" s="106" t="inlineStr">
        <is>
          <t>2. Visayas 440 MW and 500 MW give the same rate: the model is per kW.</t>
        </is>
      </c>
    </row>
    <row r="19">
      <c r="A19" s="106" t="inlineStr">
        <is>
          <t>3. OCGT and gas-engine design life is usually 20–25 years; set to 30 years to follow the ERC recovery rule.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63"/>
  <sheetViews>
    <sheetView showGridLines="0" workbookViewId="0">
      <pane xSplit="6" ySplit="9" topLeftCell="G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6" customWidth="1" min="2" max="2"/>
    <col width="9" customWidth="1" min="3" max="3"/>
    <col width="15" customWidth="1" min="4" max="4"/>
    <col width="11" customWidth="1" min="5" max="5"/>
    <col width="46"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2.5" customWidth="1" min="17" max="17"/>
    <col width="12.5" customWidth="1" min="18" max="18"/>
    <col width="12.5" customWidth="1" min="19" max="19"/>
    <col width="12.5" customWidth="1" min="20" max="20"/>
    <col width="12.5" customWidth="1" min="21" max="21"/>
    <col width="12.5" customWidth="1" min="22" max="22"/>
    <col width="12.5" customWidth="1" min="23" max="23"/>
    <col width="12.5" customWidth="1" min="24" max="24"/>
    <col width="12.5" customWidth="1" min="25" max="25"/>
    <col width="12.5" customWidth="1" min="26" max="26"/>
    <col width="12.5" customWidth="1" min="27" max="27"/>
    <col width="12.5" customWidth="1" min="28" max="28"/>
  </cols>
  <sheetData>
    <row r="1" ht="30" customHeight="1">
      <c r="A1" s="68" t="inlineStr">
        <is>
          <t>Model parameters – every Inputs &amp; Assumptions value of all 22 GAT Price models</t>
        </is>
      </c>
      <c r="B1" s="69" t="n"/>
      <c r="C1" s="69" t="n"/>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c r="AA1" s="69" t="n"/>
      <c r="AB1" s="69" t="n"/>
    </row>
    <row r="2">
      <c r="A2" s="70" t="inlineStr">
        <is>
          <t>Read from each model after the 20 Oct 2026 re-solve (CLLC out of the GATP; capex at market +25%: existing CCGT US$600/kW, new CCGT US$1,500/kW, gas engine US$1,375/kW, OCGT US$875/kW). Values identical across Fin42 and Fin90 except capacity factor and results.</t>
        </is>
      </c>
      <c r="B2" s="69" t="n"/>
      <c r="C2" s="69" t="n"/>
      <c r="D2" s="69" t="n"/>
      <c r="E2" s="69" t="n"/>
      <c r="F2" s="69" t="n"/>
      <c r="G2" s="69" t="n"/>
      <c r="H2" s="69" t="n"/>
      <c r="I2" s="69" t="n"/>
      <c r="J2" s="69" t="n"/>
      <c r="K2" s="69" t="n"/>
      <c r="L2" s="69" t="n"/>
      <c r="M2" s="69" t="n"/>
      <c r="N2" s="69" t="n"/>
      <c r="O2" s="69" t="n"/>
      <c r="P2" s="69" t="n"/>
      <c r="Q2" s="69" t="n"/>
      <c r="R2" s="69" t="n"/>
      <c r="S2" s="69" t="n"/>
      <c r="T2" s="69" t="n"/>
      <c r="U2" s="69" t="n"/>
      <c r="V2" s="69" t="n"/>
      <c r="W2" s="69" t="n"/>
      <c r="X2" s="69" t="n"/>
      <c r="Y2" s="69" t="n"/>
      <c r="Z2" s="69" t="n"/>
      <c r="AA2" s="69" t="n"/>
      <c r="AB2" s="69" t="n"/>
    </row>
    <row r="3">
      <c r="B3" s="111" t="inlineStr">
        <is>
          <t>Input (typed in the model)</t>
        </is>
      </c>
    </row>
    <row r="4">
      <c r="B4" s="112" t="inlineStr">
        <is>
          <t>Set by the solver (F15 capex calibration, F30 GAT Price)</t>
        </is>
      </c>
    </row>
    <row r="5">
      <c r="B5" s="113" t="inlineStr">
        <is>
          <t>Calculated by the model</t>
        </is>
      </c>
    </row>
    <row r="6">
      <c r="B6" s="114" t="inlineStr">
        <is>
          <t>Result</t>
        </is>
      </c>
    </row>
    <row r="7">
      <c r="B7" s="115" t="inlineStr">
        <is>
          <t>Changed on 20 Oct 2026 (red border)</t>
        </is>
      </c>
    </row>
    <row r="8">
      <c r="G8" s="116" t="inlineStr">
        <is>
          <t>Fin42 – TOR capacity factor (42%)</t>
        </is>
      </c>
      <c r="R8" s="117" t="inlineStr">
        <is>
          <t>Fin90 – historical capacity factor</t>
        </is>
      </c>
    </row>
    <row r="9" ht="44" customHeight="1">
      <c r="A9" s="79" t="inlineStr">
        <is>
          <t>Section</t>
        </is>
      </c>
      <c r="B9" s="79" t="inlineStr">
        <is>
          <t>Parameter</t>
        </is>
      </c>
      <c r="C9" s="79" t="inlineStr">
        <is>
          <t>Model cell</t>
        </is>
      </c>
      <c r="D9" s="79" t="inlineStr">
        <is>
          <t>Unit</t>
        </is>
      </c>
      <c r="E9" s="79" t="inlineStr">
        <is>
          <t>Type</t>
        </is>
      </c>
      <c r="F9" s="79" t="inlineStr">
        <is>
          <t>Basis / source</t>
        </is>
      </c>
      <c r="G9" s="118" t="inlineStr">
        <is>
          <t>Lot 1
Existing CCGT
Luzon 1,400 MW</t>
        </is>
      </c>
      <c r="H9" s="118" t="inlineStr">
        <is>
          <t>Lot 2
Existing CCGT
Luzon 500 MW</t>
        </is>
      </c>
      <c r="I9" s="118" t="inlineStr">
        <is>
          <t>New-build
CCGT
Luzon 1000 MW</t>
        </is>
      </c>
      <c r="J9" s="118" t="inlineStr">
        <is>
          <t>New-build
OCGT
Luzon 1000 MW</t>
        </is>
      </c>
      <c r="K9" s="118" t="inlineStr">
        <is>
          <t>New-build
Gas engine
Luzon 1000 MW</t>
        </is>
      </c>
      <c r="L9" s="118" t="inlineStr">
        <is>
          <t>New-build
CCGT
Visayas 440 MW</t>
        </is>
      </c>
      <c r="M9" s="118" t="inlineStr">
        <is>
          <t>New-build
OCGT
Visayas 440 MW</t>
        </is>
      </c>
      <c r="N9" s="118" t="inlineStr">
        <is>
          <t>New-build
Gas engine
Visayas 440 MW</t>
        </is>
      </c>
      <c r="O9" s="118" t="inlineStr">
        <is>
          <t>New-build
CCGT
Visayas 500 MW</t>
        </is>
      </c>
      <c r="P9" s="118" t="inlineStr">
        <is>
          <t>New-build
OCGT
Visayas 500 MW</t>
        </is>
      </c>
      <c r="Q9" s="118" t="inlineStr">
        <is>
          <t>New-build
Gas engine
Visayas 500 MW</t>
        </is>
      </c>
      <c r="R9" s="79" t="inlineStr">
        <is>
          <t>Lot 1
Existing CCGT
Luzon 1,400 MW</t>
        </is>
      </c>
      <c r="S9" s="79" t="inlineStr">
        <is>
          <t>Lot 2
Existing CCGT
Luzon 500 MW</t>
        </is>
      </c>
      <c r="T9" s="79" t="inlineStr">
        <is>
          <t>New-build
CCGT
Luzon 1000 MW</t>
        </is>
      </c>
      <c r="U9" s="79" t="inlineStr">
        <is>
          <t>New-build
OCGT
Luzon 1000 MW</t>
        </is>
      </c>
      <c r="V9" s="79" t="inlineStr">
        <is>
          <t>New-build
Gas engine
Luzon 1000 MW</t>
        </is>
      </c>
      <c r="W9" s="79" t="inlineStr">
        <is>
          <t>New-build
CCGT
Visayas 440 MW</t>
        </is>
      </c>
      <c r="X9" s="79" t="inlineStr">
        <is>
          <t>New-build
OCGT
Visayas 440 MW</t>
        </is>
      </c>
      <c r="Y9" s="79" t="inlineStr">
        <is>
          <t>New-build
Gas engine
Visayas 440 MW</t>
        </is>
      </c>
      <c r="Z9" s="79" t="inlineStr">
        <is>
          <t>New-build
CCGT
Visayas 500 MW</t>
        </is>
      </c>
      <c r="AA9" s="79" t="inlineStr">
        <is>
          <t>New-build
OCGT
Visayas 500 MW</t>
        </is>
      </c>
      <c r="AB9" s="79" t="inlineStr">
        <is>
          <t>New-build
Gas engine
Visayas 500 MW</t>
        </is>
      </c>
    </row>
    <row r="10">
      <c r="A10" s="119" t="inlineStr">
        <is>
          <t>1. Plant and dispatch</t>
        </is>
      </c>
      <c r="B10" s="120" t="n"/>
      <c r="C10" s="120" t="n"/>
      <c r="D10" s="120" t="n"/>
      <c r="E10" s="120" t="n"/>
      <c r="F10" s="120" t="n"/>
      <c r="G10" s="120" t="n"/>
      <c r="H10" s="120" t="n"/>
      <c r="I10" s="120" t="n"/>
      <c r="J10" s="120" t="n"/>
      <c r="K10" s="120" t="n"/>
      <c r="L10" s="120" t="n"/>
      <c r="M10" s="120" t="n"/>
      <c r="N10" s="120" t="n"/>
      <c r="O10" s="120" t="n"/>
      <c r="P10" s="120" t="n"/>
      <c r="Q10" s="120" t="n"/>
      <c r="R10" s="120" t="n"/>
      <c r="S10" s="120" t="n"/>
      <c r="T10" s="120" t="n"/>
      <c r="U10" s="120" t="n"/>
      <c r="V10" s="120" t="n"/>
      <c r="W10" s="120" t="n"/>
      <c r="X10" s="120" t="n"/>
      <c r="Y10" s="120" t="n"/>
      <c r="Z10" s="120" t="n"/>
      <c r="AA10" s="120" t="n"/>
      <c r="AB10" s="120" t="n"/>
    </row>
    <row r="11" ht="24" customHeight="1">
      <c r="A11" s="121" t="inlineStr">
        <is>
          <t>Plant and dispatch</t>
        </is>
      </c>
      <c r="B11" s="122" t="inlineStr">
        <is>
          <t>Unit Capacity of Plant (MW/unit)</t>
        </is>
      </c>
      <c r="C11" s="121" t="inlineStr">
        <is>
          <t>F5</t>
        </is>
      </c>
      <c r="D11" s="121" t="inlineStr">
        <is>
          <t>MW/unit</t>
        </is>
      </c>
      <c r="E11" s="121" t="inlineStr">
        <is>
          <t>Input</t>
        </is>
      </c>
      <c r="F11" s="123" t="inlineStr">
        <is>
          <t>TOR lot size split into standard units (CCGT 500 MW, OCGT 220 MW, gas engine 20 MW; draft Resolution 2). Gas engines grouped into ≤20 blocks because the model accepts at most 20 units; the per-kW rate is unchanged.</t>
        </is>
      </c>
      <c r="G11" s="124" t="n">
        <v>466.666666666667</v>
      </c>
      <c r="H11" s="124" t="n">
        <v>500</v>
      </c>
      <c r="I11" s="124" t="n">
        <v>500</v>
      </c>
      <c r="J11" s="124" t="n">
        <v>200</v>
      </c>
      <c r="K11" s="124" t="n">
        <v>50</v>
      </c>
      <c r="L11" s="124" t="n">
        <v>440</v>
      </c>
      <c r="M11" s="124" t="n">
        <v>220</v>
      </c>
      <c r="N11" s="124" t="n">
        <v>22</v>
      </c>
      <c r="O11" s="124" t="n">
        <v>500</v>
      </c>
      <c r="P11" s="124" t="n">
        <v>250</v>
      </c>
      <c r="Q11" s="124" t="n">
        <v>25</v>
      </c>
      <c r="R11" s="124" t="n">
        <v>466.666666666667</v>
      </c>
      <c r="S11" s="124" t="n">
        <v>500</v>
      </c>
      <c r="T11" s="124" t="n">
        <v>500</v>
      </c>
      <c r="U11" s="124" t="n">
        <v>200</v>
      </c>
      <c r="V11" s="124" t="n">
        <v>50</v>
      </c>
      <c r="W11" s="124" t="n">
        <v>440</v>
      </c>
      <c r="X11" s="124" t="n">
        <v>220</v>
      </c>
      <c r="Y11" s="124" t="n">
        <v>22</v>
      </c>
      <c r="Z11" s="124" t="n">
        <v>500</v>
      </c>
      <c r="AA11" s="124" t="n">
        <v>250</v>
      </c>
      <c r="AB11" s="124" t="n">
        <v>25</v>
      </c>
    </row>
    <row r="12" ht="24" customHeight="1">
      <c r="A12" s="121" t="inlineStr">
        <is>
          <t>Plant and dispatch</t>
        </is>
      </c>
      <c r="B12" s="122" t="inlineStr">
        <is>
          <t>No. of Units (unit)</t>
        </is>
      </c>
      <c r="C12" s="121" t="inlineStr">
        <is>
          <t>F6</t>
        </is>
      </c>
      <c r="D12" s="121" t="inlineStr">
        <is>
          <t>units</t>
        </is>
      </c>
      <c r="E12" s="121" t="inlineStr">
        <is>
          <t>Input</t>
        </is>
      </c>
      <c r="F12" s="123" t="inlineStr">
        <is>
          <t>Auction capacity requirement (DOE TOR Sec. 1.1) / unit capacity.</t>
        </is>
      </c>
      <c r="G12" s="125" t="n">
        <v>3</v>
      </c>
      <c r="H12" s="125" t="n">
        <v>1</v>
      </c>
      <c r="I12" s="125" t="n">
        <v>2</v>
      </c>
      <c r="J12" s="125" t="n">
        <v>5</v>
      </c>
      <c r="K12" s="125" t="n">
        <v>20</v>
      </c>
      <c r="L12" s="125" t="n">
        <v>1</v>
      </c>
      <c r="M12" s="125" t="n">
        <v>2</v>
      </c>
      <c r="N12" s="125" t="n">
        <v>20</v>
      </c>
      <c r="O12" s="125" t="n">
        <v>1</v>
      </c>
      <c r="P12" s="125" t="n">
        <v>2</v>
      </c>
      <c r="Q12" s="125" t="n">
        <v>20</v>
      </c>
      <c r="R12" s="125" t="n">
        <v>3</v>
      </c>
      <c r="S12" s="125" t="n">
        <v>1</v>
      </c>
      <c r="T12" s="125" t="n">
        <v>2</v>
      </c>
      <c r="U12" s="125" t="n">
        <v>5</v>
      </c>
      <c r="V12" s="125" t="n">
        <v>20</v>
      </c>
      <c r="W12" s="125" t="n">
        <v>1</v>
      </c>
      <c r="X12" s="125" t="n">
        <v>2</v>
      </c>
      <c r="Y12" s="125" t="n">
        <v>20</v>
      </c>
      <c r="Z12" s="125" t="n">
        <v>1</v>
      </c>
      <c r="AA12" s="125" t="n">
        <v>2</v>
      </c>
      <c r="AB12" s="125" t="n">
        <v>20</v>
      </c>
    </row>
    <row r="13" ht="15" customHeight="1">
      <c r="A13" s="121" t="inlineStr">
        <is>
          <t>Plant and dispatch</t>
        </is>
      </c>
      <c r="B13" s="122" t="inlineStr">
        <is>
          <t>Installed Capacity, gross (MW) [A.1]</t>
        </is>
      </c>
      <c r="C13" s="121" t="inlineStr">
        <is>
          <t>F7</t>
        </is>
      </c>
      <c r="D13" s="121" t="inlineStr">
        <is>
          <t>MW</t>
        </is>
      </c>
      <c r="E13" s="121" t="inlineStr">
        <is>
          <t>Calculated</t>
        </is>
      </c>
      <c r="F13" s="123" t="inlineStr">
        <is>
          <t>DOE TOR Sec. 1.1 auction capacity requirement.</t>
        </is>
      </c>
      <c r="G13" s="126" t="n">
        <v>1400.000000000001</v>
      </c>
      <c r="H13" s="126" t="n">
        <v>500</v>
      </c>
      <c r="I13" s="126" t="n">
        <v>1000</v>
      </c>
      <c r="J13" s="126" t="n">
        <v>1000</v>
      </c>
      <c r="K13" s="126" t="n">
        <v>1000</v>
      </c>
      <c r="L13" s="126" t="n">
        <v>440</v>
      </c>
      <c r="M13" s="126" t="n">
        <v>440</v>
      </c>
      <c r="N13" s="126" t="n">
        <v>440</v>
      </c>
      <c r="O13" s="126" t="n">
        <v>500</v>
      </c>
      <c r="P13" s="126" t="n">
        <v>500</v>
      </c>
      <c r="Q13" s="126" t="n">
        <v>500</v>
      </c>
      <c r="R13" s="126" t="n">
        <v>1400.000000000001</v>
      </c>
      <c r="S13" s="126" t="n">
        <v>500</v>
      </c>
      <c r="T13" s="126" t="n">
        <v>1000</v>
      </c>
      <c r="U13" s="126" t="n">
        <v>1000</v>
      </c>
      <c r="V13" s="126" t="n">
        <v>1000</v>
      </c>
      <c r="W13" s="126" t="n">
        <v>440</v>
      </c>
      <c r="X13" s="126" t="n">
        <v>440</v>
      </c>
      <c r="Y13" s="126" t="n">
        <v>440</v>
      </c>
      <c r="Z13" s="126" t="n">
        <v>500</v>
      </c>
      <c r="AA13" s="126" t="n">
        <v>500</v>
      </c>
      <c r="AB13" s="126" t="n">
        <v>500</v>
      </c>
    </row>
    <row r="14" ht="24" customHeight="1">
      <c r="A14" s="121" t="inlineStr">
        <is>
          <t>Plant and dispatch</t>
        </is>
      </c>
      <c r="B14" s="122" t="inlineStr">
        <is>
          <t>Net Capacity Factor input (availability x dispatch) [A.2]</t>
        </is>
      </c>
      <c r="C14" s="121" t="inlineStr">
        <is>
          <t>F8</t>
        </is>
      </c>
      <c r="D14" s="121" t="inlineStr">
        <is>
          <t>%</t>
        </is>
      </c>
      <c r="E14" s="121" t="inlineStr">
        <is>
          <t>Input</t>
        </is>
      </c>
      <c r="F14" s="123" t="inlineStr">
        <is>
          <t>Varies by case — see the comment on each value.</t>
        </is>
      </c>
      <c r="G14" s="127" t="n">
        <v>0.42</v>
      </c>
      <c r="H14" s="127" t="n">
        <v>0.42</v>
      </c>
      <c r="I14" s="127" t="n">
        <v>0.42</v>
      </c>
      <c r="J14" s="127" t="n">
        <v>0.42</v>
      </c>
      <c r="K14" s="127" t="n">
        <v>0.42</v>
      </c>
      <c r="L14" s="127" t="n">
        <v>0.42</v>
      </c>
      <c r="M14" s="127" t="n">
        <v>0.42</v>
      </c>
      <c r="N14" s="127" t="n">
        <v>0.42</v>
      </c>
      <c r="O14" s="127" t="n">
        <v>0.42</v>
      </c>
      <c r="P14" s="127" t="n">
        <v>0.42</v>
      </c>
      <c r="Q14" s="127" t="n">
        <v>0.42</v>
      </c>
      <c r="R14" s="127" t="n">
        <v>0.668004413964512</v>
      </c>
      <c r="S14" s="127" t="n">
        <v>0.668004413964512</v>
      </c>
      <c r="T14" s="127" t="n">
        <v>0.631240919302939</v>
      </c>
      <c r="U14" s="127" t="n">
        <v>0.631240919302939</v>
      </c>
      <c r="V14" s="127" t="n">
        <v>0.631240919302939</v>
      </c>
      <c r="W14" s="127" t="n">
        <v>0.631240919302939</v>
      </c>
      <c r="X14" s="127" t="n">
        <v>0.631240919302939</v>
      </c>
      <c r="Y14" s="127" t="n">
        <v>0.631240919302939</v>
      </c>
      <c r="Z14" s="127" t="n">
        <v>0.631240919302939</v>
      </c>
      <c r="AA14" s="127" t="n">
        <v>0.631240919302939</v>
      </c>
      <c r="AB14" s="127" t="n">
        <v>0.631240919302939</v>
      </c>
    </row>
    <row r="15" ht="15" customHeight="1">
      <c r="A15" s="121" t="inlineStr">
        <is>
          <t>Plant and dispatch</t>
        </is>
      </c>
      <c r="B15" s="122" t="inlineStr">
        <is>
          <t>Guaranteed Efficiency Factor, %</t>
        </is>
      </c>
      <c r="C15" s="121" t="inlineStr">
        <is>
          <t>F9</t>
        </is>
      </c>
      <c r="D15" s="121" t="inlineStr">
        <is>
          <t>%</t>
        </is>
      </c>
      <c r="E15" s="121" t="inlineStr">
        <is>
          <t>Input</t>
        </is>
      </c>
      <c r="F15" s="123" t="inlineStr">
        <is>
          <t>Net basis: CF is already net, so 100%.</t>
        </is>
      </c>
      <c r="G15" s="127" t="n">
        <v>1</v>
      </c>
      <c r="H15" s="127" t="n">
        <v>1</v>
      </c>
      <c r="I15" s="127" t="n">
        <v>1</v>
      </c>
      <c r="J15" s="127" t="n">
        <v>1</v>
      </c>
      <c r="K15" s="127" t="n">
        <v>1</v>
      </c>
      <c r="L15" s="127" t="n">
        <v>1</v>
      </c>
      <c r="M15" s="127" t="n">
        <v>1</v>
      </c>
      <c r="N15" s="127" t="n">
        <v>1</v>
      </c>
      <c r="O15" s="127" t="n">
        <v>1</v>
      </c>
      <c r="P15" s="127" t="n">
        <v>1</v>
      </c>
      <c r="Q15" s="127" t="n">
        <v>1</v>
      </c>
      <c r="R15" s="127" t="n">
        <v>1</v>
      </c>
      <c r="S15" s="127" t="n">
        <v>1</v>
      </c>
      <c r="T15" s="127" t="n">
        <v>1</v>
      </c>
      <c r="U15" s="127" t="n">
        <v>1</v>
      </c>
      <c r="V15" s="127" t="n">
        <v>1</v>
      </c>
      <c r="W15" s="127" t="n">
        <v>1</v>
      </c>
      <c r="X15" s="127" t="n">
        <v>1</v>
      </c>
      <c r="Y15" s="127" t="n">
        <v>1</v>
      </c>
      <c r="Z15" s="127" t="n">
        <v>1</v>
      </c>
      <c r="AA15" s="127" t="n">
        <v>1</v>
      </c>
      <c r="AB15" s="127" t="n">
        <v>1</v>
      </c>
    </row>
    <row r="16" ht="15" customHeight="1">
      <c r="A16" s="121" t="inlineStr">
        <is>
          <t>Plant and dispatch</t>
        </is>
      </c>
      <c r="B16" s="122" t="inlineStr">
        <is>
          <t>Allowance for losses &amp; own use, %</t>
        </is>
      </c>
      <c r="C16" s="121" t="inlineStr">
        <is>
          <t>F10</t>
        </is>
      </c>
      <c r="D16" s="121" t="inlineStr">
        <is>
          <t>%</t>
        </is>
      </c>
      <c r="E16" s="121" t="inlineStr">
        <is>
          <t>Input</t>
        </is>
      </c>
      <c r="F16" s="123" t="inlineStr">
        <is>
          <t>Net basis: 0% (CF is net of own use).</t>
        </is>
      </c>
      <c r="G16" s="127" t="n">
        <v>0</v>
      </c>
      <c r="H16" s="127" t="n">
        <v>0</v>
      </c>
      <c r="I16" s="127" t="n">
        <v>0</v>
      </c>
      <c r="J16" s="127" t="n">
        <v>0</v>
      </c>
      <c r="K16" s="127" t="n">
        <v>0</v>
      </c>
      <c r="L16" s="127" t="n">
        <v>0</v>
      </c>
      <c r="M16" s="127" t="n">
        <v>0</v>
      </c>
      <c r="N16" s="127" t="n">
        <v>0</v>
      </c>
      <c r="O16" s="127" t="n">
        <v>0</v>
      </c>
      <c r="P16" s="127" t="n">
        <v>0</v>
      </c>
      <c r="Q16" s="127" t="n">
        <v>0</v>
      </c>
      <c r="R16" s="127" t="n">
        <v>0</v>
      </c>
      <c r="S16" s="127" t="n">
        <v>0</v>
      </c>
      <c r="T16" s="127" t="n">
        <v>0</v>
      </c>
      <c r="U16" s="127" t="n">
        <v>0</v>
      </c>
      <c r="V16" s="127" t="n">
        <v>0</v>
      </c>
      <c r="W16" s="127" t="n">
        <v>0</v>
      </c>
      <c r="X16" s="127" t="n">
        <v>0</v>
      </c>
      <c r="Y16" s="127" t="n">
        <v>0</v>
      </c>
      <c r="Z16" s="127" t="n">
        <v>0</v>
      </c>
      <c r="AA16" s="127" t="n">
        <v>0</v>
      </c>
      <c r="AB16" s="127" t="n">
        <v>0</v>
      </c>
    </row>
    <row r="17" ht="24" customHeight="1">
      <c r="A17" s="121" t="inlineStr">
        <is>
          <t>Plant and dispatch</t>
        </is>
      </c>
      <c r="B17" s="122" t="inlineStr">
        <is>
          <t>Net Capacity Factor after own use (calculated) [A.2]</t>
        </is>
      </c>
      <c r="C17" s="121" t="inlineStr">
        <is>
          <t>F11</t>
        </is>
      </c>
      <c r="D17" s="121" t="inlineStr">
        <is>
          <t>%</t>
        </is>
      </c>
      <c r="E17" s="121" t="inlineStr">
        <is>
          <t>Calculated</t>
        </is>
      </c>
      <c r="F17" s="123" t="inlineStr"/>
      <c r="G17" s="128" t="n">
        <v>0.42</v>
      </c>
      <c r="H17" s="128" t="n">
        <v>0.42</v>
      </c>
      <c r="I17" s="128" t="n">
        <v>0.42</v>
      </c>
      <c r="J17" s="128" t="n">
        <v>0.42</v>
      </c>
      <c r="K17" s="128" t="n">
        <v>0.42</v>
      </c>
      <c r="L17" s="128" t="n">
        <v>0.42</v>
      </c>
      <c r="M17" s="128" t="n">
        <v>0.42</v>
      </c>
      <c r="N17" s="128" t="n">
        <v>0.42</v>
      </c>
      <c r="O17" s="128" t="n">
        <v>0.42</v>
      </c>
      <c r="P17" s="128" t="n">
        <v>0.42</v>
      </c>
      <c r="Q17" s="128" t="n">
        <v>0.42</v>
      </c>
      <c r="R17" s="128" t="n">
        <v>0.668004413964512</v>
      </c>
      <c r="S17" s="128" t="n">
        <v>0.668004413964512</v>
      </c>
      <c r="T17" s="128" t="n">
        <v>0.631240919302939</v>
      </c>
      <c r="U17" s="128" t="n">
        <v>0.631240919302939</v>
      </c>
      <c r="V17" s="128" t="n">
        <v>0.631240919302939</v>
      </c>
      <c r="W17" s="128" t="n">
        <v>0.631240919302939</v>
      </c>
      <c r="X17" s="128" t="n">
        <v>0.631240919302939</v>
      </c>
      <c r="Y17" s="128" t="n">
        <v>0.631240919302939</v>
      </c>
      <c r="Z17" s="128" t="n">
        <v>0.631240919302939</v>
      </c>
      <c r="AA17" s="128" t="n">
        <v>0.631240919302939</v>
      </c>
      <c r="AB17" s="128" t="n">
        <v>0.631240919302939</v>
      </c>
    </row>
    <row r="18" ht="15" customHeight="1">
      <c r="A18" s="121" t="inlineStr">
        <is>
          <t>Plant and dispatch</t>
        </is>
      </c>
      <c r="B18" s="122" t="inlineStr">
        <is>
          <t>Hours per Year</t>
        </is>
      </c>
      <c r="C18" s="121" t="inlineStr">
        <is>
          <t>C5</t>
        </is>
      </c>
      <c r="D18" s="121" t="inlineStr">
        <is>
          <t>hours</t>
        </is>
      </c>
      <c r="E18" s="121" t="inlineStr">
        <is>
          <t>Calculated</t>
        </is>
      </c>
      <c r="F18" s="123" t="inlineStr"/>
      <c r="G18" s="126" t="n">
        <v>8760</v>
      </c>
      <c r="H18" s="126" t="n">
        <v>8760</v>
      </c>
      <c r="I18" s="126" t="n">
        <v>8760</v>
      </c>
      <c r="J18" s="126" t="n">
        <v>8760</v>
      </c>
      <c r="K18" s="126" t="n">
        <v>8760</v>
      </c>
      <c r="L18" s="126" t="n">
        <v>8760</v>
      </c>
      <c r="M18" s="126" t="n">
        <v>8760</v>
      </c>
      <c r="N18" s="126" t="n">
        <v>8760</v>
      </c>
      <c r="O18" s="126" t="n">
        <v>8760</v>
      </c>
      <c r="P18" s="126" t="n">
        <v>8760</v>
      </c>
      <c r="Q18" s="126" t="n">
        <v>8760</v>
      </c>
      <c r="R18" s="126" t="n">
        <v>8760</v>
      </c>
      <c r="S18" s="126" t="n">
        <v>8760</v>
      </c>
      <c r="T18" s="126" t="n">
        <v>8760</v>
      </c>
      <c r="U18" s="126" t="n">
        <v>8760</v>
      </c>
      <c r="V18" s="126" t="n">
        <v>8760</v>
      </c>
      <c r="W18" s="126" t="n">
        <v>8760</v>
      </c>
      <c r="X18" s="126" t="n">
        <v>8760</v>
      </c>
      <c r="Y18" s="126" t="n">
        <v>8760</v>
      </c>
      <c r="Z18" s="126" t="n">
        <v>8760</v>
      </c>
      <c r="AA18" s="126" t="n">
        <v>8760</v>
      </c>
      <c r="AB18" s="126" t="n">
        <v>8760</v>
      </c>
    </row>
    <row r="19" ht="15" customHeight="1">
      <c r="A19" s="121" t="inlineStr">
        <is>
          <t>Plant and dispatch</t>
        </is>
      </c>
      <c r="B19" s="122" t="inlineStr">
        <is>
          <t>Net Electrical Output (MWh in 1st year)</t>
        </is>
      </c>
      <c r="C19" s="121" t="inlineStr">
        <is>
          <t>F12</t>
        </is>
      </c>
      <c r="D19" s="121" t="inlineStr">
        <is>
          <t>MWh</t>
        </is>
      </c>
      <c r="E19" s="121" t="inlineStr">
        <is>
          <t>Calculated</t>
        </is>
      </c>
      <c r="F19" s="123" t="inlineStr">
        <is>
          <t>Installed MW x CF x 8,760.</t>
        </is>
      </c>
      <c r="G19" s="126" t="n">
        <v>5150880.000000004</v>
      </c>
      <c r="H19" s="126" t="n">
        <v>1839600</v>
      </c>
      <c r="I19" s="126" t="n">
        <v>3679200</v>
      </c>
      <c r="J19" s="126" t="n">
        <v>3679200</v>
      </c>
      <c r="K19" s="126" t="n">
        <v>3679200</v>
      </c>
      <c r="L19" s="126" t="n">
        <v>1618848</v>
      </c>
      <c r="M19" s="126" t="n">
        <v>1618848</v>
      </c>
      <c r="N19" s="126" t="n">
        <v>1618848</v>
      </c>
      <c r="O19" s="126" t="n">
        <v>1839600</v>
      </c>
      <c r="P19" s="126" t="n">
        <v>1839600</v>
      </c>
      <c r="Q19" s="126" t="n">
        <v>1839600</v>
      </c>
      <c r="R19" s="126" t="n">
        <v>8192406.132860783</v>
      </c>
      <c r="S19" s="126" t="n">
        <v>2925859.333164563</v>
      </c>
      <c r="T19" s="126" t="n">
        <v>5529670.453093746</v>
      </c>
      <c r="U19" s="126" t="n">
        <v>5529670.453093746</v>
      </c>
      <c r="V19" s="126" t="n">
        <v>5529670.453093746</v>
      </c>
      <c r="W19" s="126" t="n">
        <v>2433054.999361248</v>
      </c>
      <c r="X19" s="126" t="n">
        <v>2433054.999361248</v>
      </c>
      <c r="Y19" s="126" t="n">
        <v>2433054.999361248</v>
      </c>
      <c r="Z19" s="126" t="n">
        <v>2764835.226546873</v>
      </c>
      <c r="AA19" s="126" t="n">
        <v>2764835.226546873</v>
      </c>
      <c r="AB19" s="126" t="n">
        <v>2764835.226546873</v>
      </c>
    </row>
    <row r="20" ht="15" customHeight="1">
      <c r="A20" s="121" t="inlineStr">
        <is>
          <t>Plant and dispatch</t>
        </is>
      </c>
      <c r="B20" s="122" t="inlineStr">
        <is>
          <t>Plant Degradation Rate, % p.a. [A.20]</t>
        </is>
      </c>
      <c r="C20" s="121" t="inlineStr">
        <is>
          <t>F13</t>
        </is>
      </c>
      <c r="D20" s="121" t="inlineStr">
        <is>
          <t>% p.a.</t>
        </is>
      </c>
      <c r="E20" s="121" t="inlineStr">
        <is>
          <t>Input</t>
        </is>
      </c>
      <c r="F20" s="123" t="inlineStr">
        <is>
          <t>0.2% per year (draft Resolution 2, Annex A.20).</t>
        </is>
      </c>
      <c r="G20" s="129" t="n">
        <v>0.002</v>
      </c>
      <c r="H20" s="129" t="n">
        <v>0.002</v>
      </c>
      <c r="I20" s="129" t="n">
        <v>0.002</v>
      </c>
      <c r="J20" s="129" t="n">
        <v>0.002</v>
      </c>
      <c r="K20" s="129" t="n">
        <v>0.002</v>
      </c>
      <c r="L20" s="129" t="n">
        <v>0.002</v>
      </c>
      <c r="M20" s="129" t="n">
        <v>0.002</v>
      </c>
      <c r="N20" s="129" t="n">
        <v>0.002</v>
      </c>
      <c r="O20" s="129" t="n">
        <v>0.002</v>
      </c>
      <c r="P20" s="129" t="n">
        <v>0.002</v>
      </c>
      <c r="Q20" s="129" t="n">
        <v>0.002</v>
      </c>
      <c r="R20" s="129" t="n">
        <v>0.002</v>
      </c>
      <c r="S20" s="129" t="n">
        <v>0.002</v>
      </c>
      <c r="T20" s="129" t="n">
        <v>0.002</v>
      </c>
      <c r="U20" s="129" t="n">
        <v>0.002</v>
      </c>
      <c r="V20" s="129" t="n">
        <v>0.002</v>
      </c>
      <c r="W20" s="129" t="n">
        <v>0.002</v>
      </c>
      <c r="X20" s="129" t="n">
        <v>0.002</v>
      </c>
      <c r="Y20" s="129" t="n">
        <v>0.002</v>
      </c>
      <c r="Z20" s="129" t="n">
        <v>0.002</v>
      </c>
      <c r="AA20" s="129" t="n">
        <v>0.002</v>
      </c>
      <c r="AB20" s="129" t="n">
        <v>0.002</v>
      </c>
    </row>
    <row r="21" ht="15" customHeight="1">
      <c r="A21" s="121" t="inlineStr">
        <is>
          <t>Plant and dispatch</t>
        </is>
      </c>
      <c r="B21" s="122" t="inlineStr">
        <is>
          <t>Heat rate (logistics only; fuel excluded)</t>
        </is>
      </c>
      <c r="C21" s="121" t="inlineStr">
        <is>
          <t>F61</t>
        </is>
      </c>
      <c r="D21" s="121" t="inlineStr">
        <is>
          <t>Btu/kWh</t>
        </is>
      </c>
      <c r="E21" s="121" t="inlineStr">
        <is>
          <t>Input</t>
        </is>
      </c>
      <c r="F21" s="123" t="inlineStr">
        <is>
          <t>Varies by case — see the comment on each value.</t>
        </is>
      </c>
      <c r="G21" s="130" t="n">
        <v>6350</v>
      </c>
      <c r="H21" s="130" t="n">
        <v>6350</v>
      </c>
      <c r="I21" s="130" t="n">
        <v>6100</v>
      </c>
      <c r="J21" s="130" t="n">
        <v>9800</v>
      </c>
      <c r="K21" s="130" t="n">
        <v>8000</v>
      </c>
      <c r="L21" s="130" t="n">
        <v>6100</v>
      </c>
      <c r="M21" s="130" t="n">
        <v>9800</v>
      </c>
      <c r="N21" s="130" t="n">
        <v>8000</v>
      </c>
      <c r="O21" s="130" t="n">
        <v>6100</v>
      </c>
      <c r="P21" s="130" t="n">
        <v>9800</v>
      </c>
      <c r="Q21" s="130" t="n">
        <v>8000</v>
      </c>
      <c r="R21" s="130" t="n">
        <v>6350</v>
      </c>
      <c r="S21" s="130" t="n">
        <v>6350</v>
      </c>
      <c r="T21" s="130" t="n">
        <v>6100</v>
      </c>
      <c r="U21" s="130" t="n">
        <v>9800</v>
      </c>
      <c r="V21" s="130" t="n">
        <v>8000</v>
      </c>
      <c r="W21" s="130" t="n">
        <v>6100</v>
      </c>
      <c r="X21" s="130" t="n">
        <v>9800</v>
      </c>
      <c r="Y21" s="130" t="n">
        <v>8000</v>
      </c>
      <c r="Z21" s="130" t="n">
        <v>6100</v>
      </c>
      <c r="AA21" s="130" t="n">
        <v>9800</v>
      </c>
      <c r="AB21" s="130" t="n">
        <v>8000</v>
      </c>
    </row>
    <row r="23">
      <c r="A23" s="119" t="inlineStr">
        <is>
          <t>2. Timing</t>
        </is>
      </c>
      <c r="B23" s="120" t="n"/>
      <c r="C23" s="120" t="n"/>
      <c r="D23" s="120" t="n"/>
      <c r="E23" s="120" t="n"/>
      <c r="F23" s="120"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c r="AA23" s="120" t="n"/>
      <c r="AB23" s="120" t="n"/>
    </row>
    <row r="24" ht="15" customHeight="1">
      <c r="A24" s="121" t="inlineStr">
        <is>
          <t>Timing</t>
        </is>
      </c>
      <c r="B24" s="122" t="inlineStr">
        <is>
          <t>Construction Period (mos) [A.7]</t>
        </is>
      </c>
      <c r="C24" s="121" t="inlineStr">
        <is>
          <t>C8</t>
        </is>
      </c>
      <c r="D24" s="121" t="inlineStr">
        <is>
          <t>months</t>
        </is>
      </c>
      <c r="E24" s="121" t="inlineStr">
        <is>
          <t>Input</t>
        </is>
      </c>
      <c r="F24" s="123" t="inlineStr">
        <is>
          <t>Varies by case — see the comment on each value.</t>
        </is>
      </c>
      <c r="G24" s="125" t="n">
        <v>0</v>
      </c>
      <c r="H24" s="125" t="n">
        <v>0</v>
      </c>
      <c r="I24" s="125" t="n">
        <v>36</v>
      </c>
      <c r="J24" s="125" t="n">
        <v>24</v>
      </c>
      <c r="K24" s="125" t="n">
        <v>18</v>
      </c>
      <c r="L24" s="125" t="n">
        <v>36</v>
      </c>
      <c r="M24" s="125" t="n">
        <v>24</v>
      </c>
      <c r="N24" s="125" t="n">
        <v>18</v>
      </c>
      <c r="O24" s="125" t="n">
        <v>36</v>
      </c>
      <c r="P24" s="125" t="n">
        <v>24</v>
      </c>
      <c r="Q24" s="125" t="n">
        <v>18</v>
      </c>
      <c r="R24" s="125" t="n">
        <v>0</v>
      </c>
      <c r="S24" s="125" t="n">
        <v>0</v>
      </c>
      <c r="T24" s="125" t="n">
        <v>36</v>
      </c>
      <c r="U24" s="125" t="n">
        <v>24</v>
      </c>
      <c r="V24" s="125" t="n">
        <v>18</v>
      </c>
      <c r="W24" s="125" t="n">
        <v>36</v>
      </c>
      <c r="X24" s="125" t="n">
        <v>24</v>
      </c>
      <c r="Y24" s="125" t="n">
        <v>18</v>
      </c>
      <c r="Z24" s="125" t="n">
        <v>36</v>
      </c>
      <c r="AA24" s="125" t="n">
        <v>24</v>
      </c>
      <c r="AB24" s="125" t="n">
        <v>18</v>
      </c>
    </row>
    <row r="25" ht="24" customHeight="1">
      <c r="A25" s="121" t="inlineStr">
        <is>
          <t>Timing</t>
        </is>
      </c>
      <c r="B25" s="122" t="inlineStr">
        <is>
          <t>Operating Period (yrs from COD) [A.8]</t>
        </is>
      </c>
      <c r="C25" s="121" t="inlineStr">
        <is>
          <t>C9</t>
        </is>
      </c>
      <c r="D25" s="121" t="inlineStr">
        <is>
          <t>years</t>
        </is>
      </c>
      <c r="E25" s="121" t="inlineStr">
        <is>
          <t>Input</t>
        </is>
      </c>
      <c r="F25" s="123" t="inlineStr">
        <is>
          <t>30 years for every plant, existing and new: plant economic life used by the ERC for cost recovery, even though the TOR contract is shorter (instruction of 20 Oct 2026; GAIR Table 1 Operating Period).</t>
        </is>
      </c>
      <c r="G25" s="125" t="n">
        <v>30</v>
      </c>
      <c r="H25" s="125" t="n">
        <v>30</v>
      </c>
      <c r="I25" s="125" t="n">
        <v>30</v>
      </c>
      <c r="J25" s="125" t="n">
        <v>30</v>
      </c>
      <c r="K25" s="125" t="n">
        <v>30</v>
      </c>
      <c r="L25" s="125" t="n">
        <v>30</v>
      </c>
      <c r="M25" s="125" t="n">
        <v>30</v>
      </c>
      <c r="N25" s="125" t="n">
        <v>30</v>
      </c>
      <c r="O25" s="125" t="n">
        <v>30</v>
      </c>
      <c r="P25" s="125" t="n">
        <v>30</v>
      </c>
      <c r="Q25" s="125" t="n">
        <v>30</v>
      </c>
      <c r="R25" s="125" t="n">
        <v>30</v>
      </c>
      <c r="S25" s="125" t="n">
        <v>30</v>
      </c>
      <c r="T25" s="125" t="n">
        <v>30</v>
      </c>
      <c r="U25" s="125" t="n">
        <v>30</v>
      </c>
      <c r="V25" s="125" t="n">
        <v>30</v>
      </c>
      <c r="W25" s="125" t="n">
        <v>30</v>
      </c>
      <c r="X25" s="125" t="n">
        <v>30</v>
      </c>
      <c r="Y25" s="125" t="n">
        <v>30</v>
      </c>
      <c r="Z25" s="125" t="n">
        <v>30</v>
      </c>
      <c r="AA25" s="125" t="n">
        <v>30</v>
      </c>
      <c r="AB25" s="125" t="n">
        <v>30</v>
      </c>
    </row>
    <row r="26" ht="15" customHeight="1">
      <c r="A26" s="121" t="inlineStr">
        <is>
          <t>Timing</t>
        </is>
      </c>
      <c r="B26" s="122" t="inlineStr">
        <is>
          <t>Yrs from base year CPI &amp; Forex (2028) for FIT</t>
        </is>
      </c>
      <c r="C26" s="121" t="inlineStr">
        <is>
          <t>C10</t>
        </is>
      </c>
      <c r="D26" s="121" t="inlineStr">
        <is>
          <t>years</t>
        </is>
      </c>
      <c r="E26" s="121" t="inlineStr">
        <is>
          <t>Calculated</t>
        </is>
      </c>
      <c r="F26" s="123" t="inlineStr"/>
      <c r="G26" s="131" t="n">
        <v>0</v>
      </c>
      <c r="H26" s="131" t="n">
        <v>0</v>
      </c>
      <c r="I26" s="131" t="n">
        <v>3</v>
      </c>
      <c r="J26" s="131" t="n">
        <v>2</v>
      </c>
      <c r="K26" s="131" t="n">
        <v>2</v>
      </c>
      <c r="L26" s="131" t="n">
        <v>3</v>
      </c>
      <c r="M26" s="131" t="n">
        <v>2</v>
      </c>
      <c r="N26" s="131" t="n">
        <v>2</v>
      </c>
      <c r="O26" s="131" t="n">
        <v>3</v>
      </c>
      <c r="P26" s="131" t="n">
        <v>2</v>
      </c>
      <c r="Q26" s="131" t="n">
        <v>2</v>
      </c>
      <c r="R26" s="131" t="n">
        <v>0</v>
      </c>
      <c r="S26" s="131" t="n">
        <v>0</v>
      </c>
      <c r="T26" s="131" t="n">
        <v>3</v>
      </c>
      <c r="U26" s="131" t="n">
        <v>2</v>
      </c>
      <c r="V26" s="131" t="n">
        <v>2</v>
      </c>
      <c r="W26" s="131" t="n">
        <v>3</v>
      </c>
      <c r="X26" s="131" t="n">
        <v>2</v>
      </c>
      <c r="Y26" s="131" t="n">
        <v>2</v>
      </c>
      <c r="Z26" s="131" t="n">
        <v>3</v>
      </c>
      <c r="AA26" s="131" t="n">
        <v>2</v>
      </c>
      <c r="AB26" s="131" t="n">
        <v>2</v>
      </c>
    </row>
    <row r="27" ht="15" customHeight="1">
      <c r="A27" s="121" t="inlineStr">
        <is>
          <t>Timing</t>
        </is>
      </c>
      <c r="B27" s="122" t="inlineStr">
        <is>
          <t>Yrs from base year CPI (2028) for CAPEX</t>
        </is>
      </c>
      <c r="C27" s="121" t="inlineStr">
        <is>
          <t>C11</t>
        </is>
      </c>
      <c r="D27" s="121" t="inlineStr">
        <is>
          <t>years</t>
        </is>
      </c>
      <c r="E27" s="121" t="inlineStr">
        <is>
          <t>Input</t>
        </is>
      </c>
      <c r="F27" s="123" t="inlineStr"/>
      <c r="G27" s="125" t="n">
        <v>0</v>
      </c>
      <c r="H27" s="125" t="n">
        <v>0</v>
      </c>
      <c r="I27" s="125" t="n">
        <v>0</v>
      </c>
      <c r="J27" s="125" t="n">
        <v>0</v>
      </c>
      <c r="K27" s="125" t="n">
        <v>0</v>
      </c>
      <c r="L27" s="125" t="n">
        <v>0</v>
      </c>
      <c r="M27" s="125" t="n">
        <v>0</v>
      </c>
      <c r="N27" s="125" t="n">
        <v>0</v>
      </c>
      <c r="O27" s="125" t="n">
        <v>0</v>
      </c>
      <c r="P27" s="125" t="n">
        <v>0</v>
      </c>
      <c r="Q27" s="125" t="n">
        <v>0</v>
      </c>
      <c r="R27" s="125" t="n">
        <v>0</v>
      </c>
      <c r="S27" s="125" t="n">
        <v>0</v>
      </c>
      <c r="T27" s="125" t="n">
        <v>0</v>
      </c>
      <c r="U27" s="125" t="n">
        <v>0</v>
      </c>
      <c r="V27" s="125" t="n">
        <v>0</v>
      </c>
      <c r="W27" s="125" t="n">
        <v>0</v>
      </c>
      <c r="X27" s="125" t="n">
        <v>0</v>
      </c>
      <c r="Y27" s="125" t="n">
        <v>0</v>
      </c>
      <c r="Z27" s="125" t="n">
        <v>0</v>
      </c>
      <c r="AA27" s="125" t="n">
        <v>0</v>
      </c>
      <c r="AB27" s="125" t="n">
        <v>0</v>
      </c>
    </row>
    <row r="28" ht="15" customHeight="1">
      <c r="A28" s="121" t="inlineStr">
        <is>
          <t>Timing</t>
        </is>
      </c>
      <c r="B28" s="122" t="inlineStr">
        <is>
          <t>Yrs from base year CPI (2028) for OPEX</t>
        </is>
      </c>
      <c r="C28" s="121" t="inlineStr">
        <is>
          <t>C12</t>
        </is>
      </c>
      <c r="D28" s="121" t="inlineStr">
        <is>
          <t>years</t>
        </is>
      </c>
      <c r="E28" s="121" t="inlineStr">
        <is>
          <t>Input</t>
        </is>
      </c>
      <c r="F28" s="123" t="inlineStr"/>
      <c r="G28" s="125" t="n">
        <v>0</v>
      </c>
      <c r="H28" s="125" t="n">
        <v>0</v>
      </c>
      <c r="I28" s="125" t="n">
        <v>0</v>
      </c>
      <c r="J28" s="125" t="n">
        <v>0</v>
      </c>
      <c r="K28" s="125" t="n">
        <v>0</v>
      </c>
      <c r="L28" s="125" t="n">
        <v>0</v>
      </c>
      <c r="M28" s="125" t="n">
        <v>0</v>
      </c>
      <c r="N28" s="125" t="n">
        <v>0</v>
      </c>
      <c r="O28" s="125" t="n">
        <v>0</v>
      </c>
      <c r="P28" s="125" t="n">
        <v>0</v>
      </c>
      <c r="Q28" s="125" t="n">
        <v>0</v>
      </c>
      <c r="R28" s="125" t="n">
        <v>0</v>
      </c>
      <c r="S28" s="125" t="n">
        <v>0</v>
      </c>
      <c r="T28" s="125" t="n">
        <v>0</v>
      </c>
      <c r="U28" s="125" t="n">
        <v>0</v>
      </c>
      <c r="V28" s="125" t="n">
        <v>0</v>
      </c>
      <c r="W28" s="125" t="n">
        <v>0</v>
      </c>
      <c r="X28" s="125" t="n">
        <v>0</v>
      </c>
      <c r="Y28" s="125" t="n">
        <v>0</v>
      </c>
      <c r="Z28" s="125" t="n">
        <v>0</v>
      </c>
      <c r="AA28" s="125" t="n">
        <v>0</v>
      </c>
      <c r="AB28" s="125" t="n">
        <v>0</v>
      </c>
    </row>
    <row r="29" ht="24" customHeight="1">
      <c r="A29" s="121" t="inlineStr">
        <is>
          <t>Timing</t>
        </is>
      </c>
      <c r="B29" s="122" t="inlineStr">
        <is>
          <t>Base year CPI &amp; Forex for FiT</t>
        </is>
      </c>
      <c r="C29" s="121" t="inlineStr">
        <is>
          <t>C45</t>
        </is>
      </c>
      <c r="D29" s="121" t="inlineStr">
        <is>
          <t>year</t>
        </is>
      </c>
      <c r="E29" s="121" t="inlineStr">
        <is>
          <t>Input</t>
        </is>
      </c>
      <c r="F29" s="123" t="inlineStr">
        <is>
          <t>naruto / ERC Mid-Merit Financial Model default (ADV model reviewed 9 Oct 2026); unchanged across cases.</t>
        </is>
      </c>
      <c r="G29" s="125" t="n">
        <v>2028</v>
      </c>
      <c r="H29" s="125" t="n">
        <v>2028</v>
      </c>
      <c r="I29" s="125" t="n">
        <v>2028</v>
      </c>
      <c r="J29" s="125" t="n">
        <v>2028</v>
      </c>
      <c r="K29" s="125" t="n">
        <v>2028</v>
      </c>
      <c r="L29" s="125" t="n">
        <v>2028</v>
      </c>
      <c r="M29" s="125" t="n">
        <v>2028</v>
      </c>
      <c r="N29" s="125" t="n">
        <v>2028</v>
      </c>
      <c r="O29" s="125" t="n">
        <v>2028</v>
      </c>
      <c r="P29" s="125" t="n">
        <v>2028</v>
      </c>
      <c r="Q29" s="125" t="n">
        <v>2028</v>
      </c>
      <c r="R29" s="125" t="n">
        <v>2028</v>
      </c>
      <c r="S29" s="125" t="n">
        <v>2028</v>
      </c>
      <c r="T29" s="125" t="n">
        <v>2028</v>
      </c>
      <c r="U29" s="125" t="n">
        <v>2028</v>
      </c>
      <c r="V29" s="125" t="n">
        <v>2028</v>
      </c>
      <c r="W29" s="125" t="n">
        <v>2028</v>
      </c>
      <c r="X29" s="125" t="n">
        <v>2028</v>
      </c>
      <c r="Y29" s="125" t="n">
        <v>2028</v>
      </c>
      <c r="Z29" s="125" t="n">
        <v>2028</v>
      </c>
      <c r="AA29" s="125" t="n">
        <v>2028</v>
      </c>
      <c r="AB29" s="125" t="n">
        <v>2028</v>
      </c>
    </row>
    <row r="30" ht="15" customHeight="1">
      <c r="A30" s="121" t="inlineStr">
        <is>
          <t>Timing</t>
        </is>
      </c>
      <c r="B30" s="122" t="inlineStr">
        <is>
          <t>Base year CPI for CAPEX</t>
        </is>
      </c>
      <c r="C30" s="121" t="inlineStr">
        <is>
          <t>C46</t>
        </is>
      </c>
      <c r="D30" s="121" t="inlineStr">
        <is>
          <t>year</t>
        </is>
      </c>
      <c r="E30" s="121" t="inlineStr">
        <is>
          <t>Input</t>
        </is>
      </c>
      <c r="F30" s="123" t="inlineStr"/>
      <c r="G30" s="125" t="n">
        <v>2028</v>
      </c>
      <c r="H30" s="125" t="n">
        <v>2028</v>
      </c>
      <c r="I30" s="125" t="n">
        <v>2028</v>
      </c>
      <c r="J30" s="125" t="n">
        <v>2028</v>
      </c>
      <c r="K30" s="125" t="n">
        <v>2028</v>
      </c>
      <c r="L30" s="125" t="n">
        <v>2028</v>
      </c>
      <c r="M30" s="125" t="n">
        <v>2028</v>
      </c>
      <c r="N30" s="125" t="n">
        <v>2028</v>
      </c>
      <c r="O30" s="125" t="n">
        <v>2028</v>
      </c>
      <c r="P30" s="125" t="n">
        <v>2028</v>
      </c>
      <c r="Q30" s="125" t="n">
        <v>2028</v>
      </c>
      <c r="R30" s="125" t="n">
        <v>2028</v>
      </c>
      <c r="S30" s="125" t="n">
        <v>2028</v>
      </c>
      <c r="T30" s="125" t="n">
        <v>2028</v>
      </c>
      <c r="U30" s="125" t="n">
        <v>2028</v>
      </c>
      <c r="V30" s="125" t="n">
        <v>2028</v>
      </c>
      <c r="W30" s="125" t="n">
        <v>2028</v>
      </c>
      <c r="X30" s="125" t="n">
        <v>2028</v>
      </c>
      <c r="Y30" s="125" t="n">
        <v>2028</v>
      </c>
      <c r="Z30" s="125" t="n">
        <v>2028</v>
      </c>
      <c r="AA30" s="125" t="n">
        <v>2028</v>
      </c>
      <c r="AB30" s="125" t="n">
        <v>2028</v>
      </c>
    </row>
    <row r="31" ht="15" customHeight="1">
      <c r="A31" s="121" t="inlineStr">
        <is>
          <t>Timing</t>
        </is>
      </c>
      <c r="B31" s="122" t="inlineStr">
        <is>
          <t>Base year CPI for OPEX</t>
        </is>
      </c>
      <c r="C31" s="121" t="inlineStr">
        <is>
          <t>C47</t>
        </is>
      </c>
      <c r="D31" s="121" t="inlineStr">
        <is>
          <t>year</t>
        </is>
      </c>
      <c r="E31" s="121" t="inlineStr">
        <is>
          <t>Input</t>
        </is>
      </c>
      <c r="F31" s="123" t="inlineStr"/>
      <c r="G31" s="125" t="n">
        <v>2028</v>
      </c>
      <c r="H31" s="125" t="n">
        <v>2028</v>
      </c>
      <c r="I31" s="125" t="n">
        <v>2028</v>
      </c>
      <c r="J31" s="125" t="n">
        <v>2028</v>
      </c>
      <c r="K31" s="125" t="n">
        <v>2028</v>
      </c>
      <c r="L31" s="125" t="n">
        <v>2028</v>
      </c>
      <c r="M31" s="125" t="n">
        <v>2028</v>
      </c>
      <c r="N31" s="125" t="n">
        <v>2028</v>
      </c>
      <c r="O31" s="125" t="n">
        <v>2028</v>
      </c>
      <c r="P31" s="125" t="n">
        <v>2028</v>
      </c>
      <c r="Q31" s="125" t="n">
        <v>2028</v>
      </c>
      <c r="R31" s="125" t="n">
        <v>2028</v>
      </c>
      <c r="S31" s="125" t="n">
        <v>2028</v>
      </c>
      <c r="T31" s="125" t="n">
        <v>2028</v>
      </c>
      <c r="U31" s="125" t="n">
        <v>2028</v>
      </c>
      <c r="V31" s="125" t="n">
        <v>2028</v>
      </c>
      <c r="W31" s="125" t="n">
        <v>2028</v>
      </c>
      <c r="X31" s="125" t="n">
        <v>2028</v>
      </c>
      <c r="Y31" s="125" t="n">
        <v>2028</v>
      </c>
      <c r="Z31" s="125" t="n">
        <v>2028</v>
      </c>
      <c r="AA31" s="125" t="n">
        <v>2028</v>
      </c>
      <c r="AB31" s="125" t="n">
        <v>2028</v>
      </c>
    </row>
    <row r="32" ht="15" customHeight="1">
      <c r="A32" s="121" t="inlineStr">
        <is>
          <t>Timing</t>
        </is>
      </c>
      <c r="B32" s="122" t="inlineStr">
        <is>
          <t>Commercial Operating Date</t>
        </is>
      </c>
      <c r="C32" s="121" t="inlineStr">
        <is>
          <t>C48</t>
        </is>
      </c>
      <c r="D32" s="121" t="inlineStr">
        <is>
          <t>year</t>
        </is>
      </c>
      <c r="E32" s="121" t="inlineStr">
        <is>
          <t>Calculated</t>
        </is>
      </c>
      <c r="F32" s="123" t="inlineStr"/>
      <c r="G32" s="131" t="n">
        <v>2028</v>
      </c>
      <c r="H32" s="131" t="n">
        <v>2028</v>
      </c>
      <c r="I32" s="131" t="n">
        <v>2031</v>
      </c>
      <c r="J32" s="131" t="n">
        <v>2030</v>
      </c>
      <c r="K32" s="131" t="n">
        <v>2030</v>
      </c>
      <c r="L32" s="131" t="n">
        <v>2031</v>
      </c>
      <c r="M32" s="131" t="n">
        <v>2030</v>
      </c>
      <c r="N32" s="131" t="n">
        <v>2030</v>
      </c>
      <c r="O32" s="131" t="n">
        <v>2031</v>
      </c>
      <c r="P32" s="131" t="n">
        <v>2030</v>
      </c>
      <c r="Q32" s="131" t="n">
        <v>2030</v>
      </c>
      <c r="R32" s="131" t="n">
        <v>2028</v>
      </c>
      <c r="S32" s="131" t="n">
        <v>2028</v>
      </c>
      <c r="T32" s="131" t="n">
        <v>2031</v>
      </c>
      <c r="U32" s="131" t="n">
        <v>2030</v>
      </c>
      <c r="V32" s="131" t="n">
        <v>2030</v>
      </c>
      <c r="W32" s="131" t="n">
        <v>2031</v>
      </c>
      <c r="X32" s="131" t="n">
        <v>2030</v>
      </c>
      <c r="Y32" s="131" t="n">
        <v>2030</v>
      </c>
      <c r="Z32" s="131" t="n">
        <v>2031</v>
      </c>
      <c r="AA32" s="131" t="n">
        <v>2030</v>
      </c>
      <c r="AB32" s="131" t="n">
        <v>2030</v>
      </c>
    </row>
    <row r="34">
      <c r="A34" s="119" t="inlineStr">
        <is>
          <t>3. Capital cost (technical and EPC assumptions)</t>
        </is>
      </c>
      <c r="B34" s="120" t="n"/>
      <c r="C34" s="120" t="n"/>
      <c r="D34" s="120" t="n"/>
      <c r="E34" s="120" t="n"/>
      <c r="F34" s="12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c r="AA34" s="120" t="n"/>
      <c r="AB34" s="120" t="n"/>
    </row>
    <row r="35" ht="24" customHeight="1">
      <c r="A35" s="121" t="inlineStr">
        <is>
          <t>Capital cost</t>
        </is>
      </c>
      <c r="B35" s="122" t="inlineStr">
        <is>
          <t>Target all-in project cost (US$/kW) [A.3]</t>
        </is>
      </c>
      <c r="C35" s="121" t="inlineStr">
        <is>
          <t>O34</t>
        </is>
      </c>
      <c r="D35" s="121" t="inlineStr">
        <is>
          <t>US$/kW</t>
        </is>
      </c>
      <c r="E35" s="121" t="inlineStr">
        <is>
          <t>Input</t>
        </is>
      </c>
      <c r="F35" s="123" t="inlineStr">
        <is>
          <t>Raised 20 Oct 2026 to market +25%: existing CCGT US$600/kW (was 450); new CCGT US$1,500/kW, gas engine US$1,375/kW, OCGT US$875/kW (were 1,200/1,100/700; originally 900/850/520).</t>
        </is>
      </c>
      <c r="G35" s="130" t="n">
        <v>600</v>
      </c>
      <c r="H35" s="130" t="n">
        <v>600</v>
      </c>
      <c r="I35" s="132" t="n">
        <v>1500</v>
      </c>
      <c r="J35" s="132" t="n">
        <v>875</v>
      </c>
      <c r="K35" s="132" t="n">
        <v>1375</v>
      </c>
      <c r="L35" s="132" t="n">
        <v>1500</v>
      </c>
      <c r="M35" s="132" t="n">
        <v>875</v>
      </c>
      <c r="N35" s="132" t="n">
        <v>1375</v>
      </c>
      <c r="O35" s="132" t="n">
        <v>1500</v>
      </c>
      <c r="P35" s="132" t="n">
        <v>875</v>
      </c>
      <c r="Q35" s="132" t="n">
        <v>1375</v>
      </c>
      <c r="R35" s="130" t="n">
        <v>600</v>
      </c>
      <c r="S35" s="130" t="n">
        <v>600</v>
      </c>
      <c r="T35" s="132" t="n">
        <v>1500</v>
      </c>
      <c r="U35" s="132" t="n">
        <v>875</v>
      </c>
      <c r="V35" s="132" t="n">
        <v>1375</v>
      </c>
      <c r="W35" s="132" t="n">
        <v>1500</v>
      </c>
      <c r="X35" s="132" t="n">
        <v>875</v>
      </c>
      <c r="Y35" s="132" t="n">
        <v>1375</v>
      </c>
      <c r="Z35" s="132" t="n">
        <v>1500</v>
      </c>
      <c r="AA35" s="132" t="n">
        <v>875</v>
      </c>
      <c r="AB35" s="132" t="n">
        <v>1375</v>
      </c>
    </row>
    <row r="36" ht="24" customHeight="1">
      <c r="A36" s="121" t="inlineStr">
        <is>
          <t>Capital cost</t>
        </is>
      </c>
      <c r="B36" s="122" t="inlineStr">
        <is>
          <t>All-In Project Cost [A.3]</t>
        </is>
      </c>
      <c r="C36" s="121" t="inlineStr">
        <is>
          <t>C34</t>
        </is>
      </c>
      <c r="D36" s="121" t="inlineStr">
        <is>
          <t>US$/kW</t>
        </is>
      </c>
      <c r="E36" s="121" t="inlineStr">
        <is>
          <t>Calculated</t>
        </is>
      </c>
      <c r="F36" s="123" t="inlineStr">
        <is>
          <t>Model result after calibration; equals the target (calibration check C36 = 0).</t>
        </is>
      </c>
      <c r="G36" s="133" t="n">
        <v>599.9999999999998</v>
      </c>
      <c r="H36" s="133" t="n">
        <v>599.9999999999999</v>
      </c>
      <c r="I36" s="134" t="n">
        <v>1500.000000001293</v>
      </c>
      <c r="J36" s="134" t="n">
        <v>875.000000000624</v>
      </c>
      <c r="K36" s="134" t="n">
        <v>1375.000000000261</v>
      </c>
      <c r="L36" s="134" t="n">
        <v>1500.000000006675</v>
      </c>
      <c r="M36" s="134" t="n">
        <v>875.0000000032207</v>
      </c>
      <c r="N36" s="134" t="n">
        <v>1375.000000001347</v>
      </c>
      <c r="O36" s="134" t="n">
        <v>1500.000000005169</v>
      </c>
      <c r="P36" s="134" t="n">
        <v>875.0000000024945</v>
      </c>
      <c r="Q36" s="134" t="n">
        <v>1375.000000001044</v>
      </c>
      <c r="R36" s="133" t="n">
        <v>599.9999999999998</v>
      </c>
      <c r="S36" s="133" t="n">
        <v>599.9999999999999</v>
      </c>
      <c r="T36" s="134" t="n">
        <v>1500.000000001293</v>
      </c>
      <c r="U36" s="134" t="n">
        <v>875.000000000624</v>
      </c>
      <c r="V36" s="134" t="n">
        <v>1375.000000000261</v>
      </c>
      <c r="W36" s="134" t="n">
        <v>1500.000000006675</v>
      </c>
      <c r="X36" s="134" t="n">
        <v>875.0000000032207</v>
      </c>
      <c r="Y36" s="134" t="n">
        <v>1375.000000001347</v>
      </c>
      <c r="Z36" s="134" t="n">
        <v>1500.000000005169</v>
      </c>
      <c r="AA36" s="134" t="n">
        <v>875.0000000024945</v>
      </c>
      <c r="AB36" s="134" t="n">
        <v>1375.000000001044</v>
      </c>
    </row>
    <row r="37" ht="15" customHeight="1">
      <c r="A37" s="121" t="inlineStr">
        <is>
          <t>Capital cost</t>
        </is>
      </c>
      <c r="B37" s="122" t="inlineStr">
        <is>
          <t>EPC Cost</t>
        </is>
      </c>
      <c r="C37" s="121" t="inlineStr">
        <is>
          <t>C32</t>
        </is>
      </c>
      <c r="D37" s="121" t="inlineStr">
        <is>
          <t>US$/kW</t>
        </is>
      </c>
      <c r="E37" s="121" t="inlineStr">
        <is>
          <t>Calculated</t>
        </is>
      </c>
      <c r="F37" s="123" t="inlineStr"/>
      <c r="G37" s="133" t="n">
        <v>414.5423506083426</v>
      </c>
      <c r="H37" s="133" t="n">
        <v>413.5186263536663</v>
      </c>
      <c r="I37" s="134" t="n">
        <v>947.47493048312</v>
      </c>
      <c r="J37" s="134" t="n">
        <v>569.3142583809845</v>
      </c>
      <c r="K37" s="134" t="n">
        <v>908.3788890384991</v>
      </c>
      <c r="L37" s="134" t="n">
        <v>946.4674749875754</v>
      </c>
      <c r="M37" s="134" t="n">
        <v>568.3048067619046</v>
      </c>
      <c r="N37" s="134" t="n">
        <v>907.3684895586309</v>
      </c>
      <c r="O37" s="134" t="n">
        <v>946.6833583101202</v>
      </c>
      <c r="P37" s="134" t="n">
        <v>568.5211178241669</v>
      </c>
      <c r="Q37" s="134" t="n">
        <v>907.5850037333259</v>
      </c>
      <c r="R37" s="133" t="n">
        <v>414.5423506083426</v>
      </c>
      <c r="S37" s="133" t="n">
        <v>413.5186263536663</v>
      </c>
      <c r="T37" s="134" t="n">
        <v>947.47493048312</v>
      </c>
      <c r="U37" s="134" t="n">
        <v>569.3142583809845</v>
      </c>
      <c r="V37" s="134" t="n">
        <v>908.3788890384991</v>
      </c>
      <c r="W37" s="134" t="n">
        <v>946.4674749875754</v>
      </c>
      <c r="X37" s="134" t="n">
        <v>568.3048067619046</v>
      </c>
      <c r="Y37" s="134" t="n">
        <v>907.3684895586309</v>
      </c>
      <c r="Z37" s="134" t="n">
        <v>946.6833583101202</v>
      </c>
      <c r="AA37" s="134" t="n">
        <v>568.5211178241669</v>
      </c>
      <c r="AB37" s="134" t="n">
        <v>907.5850037333259</v>
      </c>
    </row>
    <row r="38" ht="24" customHeight="1">
      <c r="A38" s="121" t="inlineStr">
        <is>
          <t>Capital cost</t>
        </is>
      </c>
      <c r="B38" s="122" t="inlineStr">
        <is>
          <t>Plant Cost (Excluding VAT, Financing, Working Capital)</t>
        </is>
      </c>
      <c r="C38" s="121" t="inlineStr">
        <is>
          <t>C33</t>
        </is>
      </c>
      <c r="D38" s="121" t="inlineStr">
        <is>
          <t>US$/kW</t>
        </is>
      </c>
      <c r="E38" s="121" t="inlineStr">
        <is>
          <t>Calculated</t>
        </is>
      </c>
      <c r="F38" s="123" t="inlineStr"/>
      <c r="G38" s="133" t="n">
        <v>507.5362606554534</v>
      </c>
      <c r="H38" s="133" t="n">
        <v>507.6327213674551</v>
      </c>
      <c r="I38" s="134" t="n">
        <v>1159.357919552818</v>
      </c>
      <c r="J38" s="134" t="n">
        <v>697.047963454307</v>
      </c>
      <c r="K38" s="134" t="n">
        <v>1111.562126554527</v>
      </c>
      <c r="L38" s="134" t="n">
        <v>1159.460653162571</v>
      </c>
      <c r="M38" s="134" t="n">
        <v>697.1482567579897</v>
      </c>
      <c r="N38" s="134" t="n">
        <v>1111.661261077004</v>
      </c>
      <c r="O38" s="134" t="n">
        <v>1159.438638820156</v>
      </c>
      <c r="P38" s="134" t="n">
        <v>697.1267653370321</v>
      </c>
      <c r="Q38" s="134" t="n">
        <v>1111.640017965579</v>
      </c>
      <c r="R38" s="133" t="n">
        <v>507.5362606554534</v>
      </c>
      <c r="S38" s="133" t="n">
        <v>507.6327213674551</v>
      </c>
      <c r="T38" s="134" t="n">
        <v>1159.357919552818</v>
      </c>
      <c r="U38" s="134" t="n">
        <v>697.047963454307</v>
      </c>
      <c r="V38" s="134" t="n">
        <v>1111.562126554527</v>
      </c>
      <c r="W38" s="134" t="n">
        <v>1159.460653162571</v>
      </c>
      <c r="X38" s="134" t="n">
        <v>697.1482567579897</v>
      </c>
      <c r="Y38" s="134" t="n">
        <v>1111.661261077004</v>
      </c>
      <c r="Z38" s="134" t="n">
        <v>1159.438638820156</v>
      </c>
      <c r="AA38" s="134" t="n">
        <v>697.1267653370321</v>
      </c>
      <c r="AB38" s="134" t="n">
        <v>1111.640017965579</v>
      </c>
    </row>
    <row r="39" ht="15" customHeight="1">
      <c r="A39" s="121" t="inlineStr">
        <is>
          <t>Capital cost</t>
        </is>
      </c>
      <c r="B39" s="122" t="inlineStr">
        <is>
          <t>Land cost, $000</t>
        </is>
      </c>
      <c r="C39" s="121" t="inlineStr">
        <is>
          <t>F14</t>
        </is>
      </c>
      <c r="D39" s="121" t="inlineStr">
        <is>
          <t>$000</t>
        </is>
      </c>
      <c r="E39" s="121" t="inlineStr">
        <is>
          <t>Calculated</t>
        </is>
      </c>
      <c r="F39" s="123" t="inlineStr"/>
      <c r="G39" s="135" t="n">
        <v>79.67365670214799</v>
      </c>
      <c r="H39" s="135" t="n">
        <v>79.67365670214799</v>
      </c>
      <c r="I39" s="135" t="n">
        <v>79.67365670214799</v>
      </c>
      <c r="J39" s="135" t="n">
        <v>79.67365670214799</v>
      </c>
      <c r="K39" s="135" t="n">
        <v>79.67365670214799</v>
      </c>
      <c r="L39" s="135" t="n">
        <v>79.67365670214799</v>
      </c>
      <c r="M39" s="135" t="n">
        <v>79.67365670214799</v>
      </c>
      <c r="N39" s="135" t="n">
        <v>79.67365670214799</v>
      </c>
      <c r="O39" s="135" t="n">
        <v>79.67365670214799</v>
      </c>
      <c r="P39" s="135" t="n">
        <v>79.67365670214799</v>
      </c>
      <c r="Q39" s="135" t="n">
        <v>79.67365670214799</v>
      </c>
      <c r="R39" s="135" t="n">
        <v>79.67365670214799</v>
      </c>
      <c r="S39" s="135" t="n">
        <v>79.67365670214799</v>
      </c>
      <c r="T39" s="135" t="n">
        <v>79.67365670214799</v>
      </c>
      <c r="U39" s="135" t="n">
        <v>79.67365670214799</v>
      </c>
      <c r="V39" s="135" t="n">
        <v>79.67365670214799</v>
      </c>
      <c r="W39" s="135" t="n">
        <v>79.67365670214799</v>
      </c>
      <c r="X39" s="135" t="n">
        <v>79.67365670214799</v>
      </c>
      <c r="Y39" s="135" t="n">
        <v>79.67365670214799</v>
      </c>
      <c r="Z39" s="135" t="n">
        <v>79.67365670214799</v>
      </c>
      <c r="AA39" s="135" t="n">
        <v>79.67365670214799</v>
      </c>
      <c r="AB39" s="135" t="n">
        <v>79.67365670214799</v>
      </c>
    </row>
    <row r="40" ht="24" customHeight="1">
      <c r="A40" s="121" t="inlineStr">
        <is>
          <t>Capital cost</t>
        </is>
      </c>
      <c r="B40" s="122" t="inlineStr">
        <is>
          <t>Equipment Cost ex BOP, Transport ($000/MW)</t>
        </is>
      </c>
      <c r="C40" s="121" t="inlineStr">
        <is>
          <t>F15</t>
        </is>
      </c>
      <c r="D40" s="121" t="inlineStr">
        <is>
          <t>$000/MW</t>
        </is>
      </c>
      <c r="E40" s="121" t="inlineStr">
        <is>
          <t>Solver</t>
        </is>
      </c>
      <c r="F40" s="123" t="inlineStr">
        <is>
          <t>Set by the solver so that the all-in project cost equals the target (C36 = 0).</t>
        </is>
      </c>
      <c r="G40" s="136" t="n">
        <v>330.3126299668069</v>
      </c>
      <c r="H40" s="136" t="n">
        <v>329.4969134292162</v>
      </c>
      <c r="I40" s="137" t="n">
        <v>754.9601039706135</v>
      </c>
      <c r="J40" s="137" t="n">
        <v>453.6368592677167</v>
      </c>
      <c r="K40" s="137" t="n">
        <v>723.8078797119515</v>
      </c>
      <c r="L40" s="137" t="n">
        <v>754.1573505877096</v>
      </c>
      <c r="M40" s="137" t="n">
        <v>452.8325153481312</v>
      </c>
      <c r="N40" s="137" t="n">
        <v>723.0027805248055</v>
      </c>
      <c r="O40" s="137" t="n">
        <v>754.3293691714105</v>
      </c>
      <c r="P40" s="137" t="n">
        <v>453.0048747602923</v>
      </c>
      <c r="Q40" s="137" t="n">
        <v>723.1753017795427</v>
      </c>
      <c r="R40" s="136" t="n">
        <v>330.3126299668069</v>
      </c>
      <c r="S40" s="136" t="n">
        <v>329.4969134292162</v>
      </c>
      <c r="T40" s="137" t="n">
        <v>754.9601039706135</v>
      </c>
      <c r="U40" s="137" t="n">
        <v>453.6368592677167</v>
      </c>
      <c r="V40" s="137" t="n">
        <v>723.8078797119515</v>
      </c>
      <c r="W40" s="137" t="n">
        <v>754.1573505877096</v>
      </c>
      <c r="X40" s="137" t="n">
        <v>452.8325153481312</v>
      </c>
      <c r="Y40" s="137" t="n">
        <v>723.0027805248055</v>
      </c>
      <c r="Z40" s="137" t="n">
        <v>754.3293691714105</v>
      </c>
      <c r="AA40" s="137" t="n">
        <v>453.0048747602923</v>
      </c>
      <c r="AB40" s="137" t="n">
        <v>723.1753017795427</v>
      </c>
    </row>
    <row r="41" ht="24" customHeight="1">
      <c r="A41" s="121" t="inlineStr">
        <is>
          <t>Capital cost</t>
        </is>
      </c>
      <c r="B41" s="122" t="inlineStr">
        <is>
          <t>Insurance, Ocean Freight, Local Transport, % of Equipment Cost</t>
        </is>
      </c>
      <c r="C41" s="121" t="inlineStr">
        <is>
          <t>F16</t>
        </is>
      </c>
      <c r="D41" s="121" t="inlineStr">
        <is>
          <t>% of equipment</t>
        </is>
      </c>
      <c r="E41" s="121" t="inlineStr">
        <is>
          <t>Input</t>
        </is>
      </c>
      <c r="F41" s="123" t="inlineStr">
        <is>
          <t>naruto / ERC Mid-Merit Financial Model default (ADV model reviewed 9 Oct 2026); unchanged across cases.</t>
        </is>
      </c>
      <c r="G41" s="127" t="n">
        <v>0.045</v>
      </c>
      <c r="H41" s="127" t="n">
        <v>0.045</v>
      </c>
      <c r="I41" s="127" t="n">
        <v>0.045</v>
      </c>
      <c r="J41" s="127" t="n">
        <v>0.045</v>
      </c>
      <c r="K41" s="127" t="n">
        <v>0.045</v>
      </c>
      <c r="L41" s="127" t="n">
        <v>0.045</v>
      </c>
      <c r="M41" s="127" t="n">
        <v>0.045</v>
      </c>
      <c r="N41" s="127" t="n">
        <v>0.045</v>
      </c>
      <c r="O41" s="127" t="n">
        <v>0.045</v>
      </c>
      <c r="P41" s="127" t="n">
        <v>0.045</v>
      </c>
      <c r="Q41" s="127" t="n">
        <v>0.045</v>
      </c>
      <c r="R41" s="127" t="n">
        <v>0.045</v>
      </c>
      <c r="S41" s="127" t="n">
        <v>0.045</v>
      </c>
      <c r="T41" s="127" t="n">
        <v>0.045</v>
      </c>
      <c r="U41" s="127" t="n">
        <v>0.045</v>
      </c>
      <c r="V41" s="127" t="n">
        <v>0.045</v>
      </c>
      <c r="W41" s="127" t="n">
        <v>0.045</v>
      </c>
      <c r="X41" s="127" t="n">
        <v>0.045</v>
      </c>
      <c r="Y41" s="127" t="n">
        <v>0.045</v>
      </c>
      <c r="Z41" s="127" t="n">
        <v>0.045</v>
      </c>
      <c r="AA41" s="127" t="n">
        <v>0.045</v>
      </c>
      <c r="AB41" s="127" t="n">
        <v>0.045</v>
      </c>
    </row>
    <row r="42" ht="24" customHeight="1">
      <c r="A42" s="121" t="inlineStr">
        <is>
          <t>Capital cost</t>
        </is>
      </c>
      <c r="B42" s="122" t="inlineStr">
        <is>
          <t>Balance of Plant (BOP), % of Equipment Cost</t>
        </is>
      </c>
      <c r="C42" s="121" t="inlineStr">
        <is>
          <t>F17</t>
        </is>
      </c>
      <c r="D42" s="121" t="inlineStr">
        <is>
          <t>% of equipment</t>
        </is>
      </c>
      <c r="E42" s="121" t="inlineStr">
        <is>
          <t>Input</t>
        </is>
      </c>
      <c r="F42" s="123" t="inlineStr">
        <is>
          <t>naruto / ERC Mid-Merit Financial Model default (ADV model reviewed 9 Oct 2026); unchanged across cases.</t>
        </is>
      </c>
      <c r="G42" s="127" t="n">
        <v>0.21</v>
      </c>
      <c r="H42" s="127" t="n">
        <v>0.21</v>
      </c>
      <c r="I42" s="127" t="n">
        <v>0.21</v>
      </c>
      <c r="J42" s="127" t="n">
        <v>0.21</v>
      </c>
      <c r="K42" s="127" t="n">
        <v>0.21</v>
      </c>
      <c r="L42" s="127" t="n">
        <v>0.21</v>
      </c>
      <c r="M42" s="127" t="n">
        <v>0.21</v>
      </c>
      <c r="N42" s="127" t="n">
        <v>0.21</v>
      </c>
      <c r="O42" s="127" t="n">
        <v>0.21</v>
      </c>
      <c r="P42" s="127" t="n">
        <v>0.21</v>
      </c>
      <c r="Q42" s="127" t="n">
        <v>0.21</v>
      </c>
      <c r="R42" s="127" t="n">
        <v>0.21</v>
      </c>
      <c r="S42" s="127" t="n">
        <v>0.21</v>
      </c>
      <c r="T42" s="127" t="n">
        <v>0.21</v>
      </c>
      <c r="U42" s="127" t="n">
        <v>0.21</v>
      </c>
      <c r="V42" s="127" t="n">
        <v>0.21</v>
      </c>
      <c r="W42" s="127" t="n">
        <v>0.21</v>
      </c>
      <c r="X42" s="127" t="n">
        <v>0.21</v>
      </c>
      <c r="Y42" s="127" t="n">
        <v>0.21</v>
      </c>
      <c r="Z42" s="127" t="n">
        <v>0.21</v>
      </c>
      <c r="AA42" s="127" t="n">
        <v>0.21</v>
      </c>
      <c r="AB42" s="127" t="n">
        <v>0.21</v>
      </c>
    </row>
    <row r="43" ht="15" customHeight="1">
      <c r="A43" s="121" t="inlineStr">
        <is>
          <t>Capital cost</t>
        </is>
      </c>
      <c r="B43" s="122" t="inlineStr">
        <is>
          <t>Transmission Line Distance (km)</t>
        </is>
      </c>
      <c r="C43" s="121" t="inlineStr">
        <is>
          <t>F18</t>
        </is>
      </c>
      <c r="D43" s="121" t="inlineStr">
        <is>
          <t>km</t>
        </is>
      </c>
      <c r="E43" s="121" t="inlineStr">
        <is>
          <t>Input</t>
        </is>
      </c>
      <c r="F43" s="123" t="inlineStr"/>
      <c r="G43" s="138" t="n">
        <v>1</v>
      </c>
      <c r="H43" s="138" t="n">
        <v>1</v>
      </c>
      <c r="I43" s="138" t="n">
        <v>1</v>
      </c>
      <c r="J43" s="138" t="n">
        <v>1</v>
      </c>
      <c r="K43" s="138" t="n">
        <v>1</v>
      </c>
      <c r="L43" s="138" t="n">
        <v>1</v>
      </c>
      <c r="M43" s="138" t="n">
        <v>1</v>
      </c>
      <c r="N43" s="138" t="n">
        <v>1</v>
      </c>
      <c r="O43" s="138" t="n">
        <v>1</v>
      </c>
      <c r="P43" s="138" t="n">
        <v>1</v>
      </c>
      <c r="Q43" s="138" t="n">
        <v>1</v>
      </c>
      <c r="R43" s="138" t="n">
        <v>1</v>
      </c>
      <c r="S43" s="138" t="n">
        <v>1</v>
      </c>
      <c r="T43" s="138" t="n">
        <v>1</v>
      </c>
      <c r="U43" s="138" t="n">
        <v>1</v>
      </c>
      <c r="V43" s="138" t="n">
        <v>1</v>
      </c>
      <c r="W43" s="138" t="n">
        <v>1</v>
      </c>
      <c r="X43" s="138" t="n">
        <v>1</v>
      </c>
      <c r="Y43" s="138" t="n">
        <v>1</v>
      </c>
      <c r="Z43" s="138" t="n">
        <v>1</v>
      </c>
      <c r="AA43" s="138" t="n">
        <v>1</v>
      </c>
      <c r="AB43" s="138" t="n">
        <v>1</v>
      </c>
    </row>
    <row r="44" ht="15" customHeight="1">
      <c r="A44" s="121" t="inlineStr">
        <is>
          <t>Capital cost</t>
        </is>
      </c>
      <c r="B44" s="122" t="inlineStr">
        <is>
          <t>T/L Cost per km, 69 kV ($000/km)</t>
        </is>
      </c>
      <c r="C44" s="121" t="inlineStr">
        <is>
          <t>F19</t>
        </is>
      </c>
      <c r="D44" s="121" t="inlineStr">
        <is>
          <t>$000/km</t>
        </is>
      </c>
      <c r="E44" s="121" t="inlineStr">
        <is>
          <t>Input</t>
        </is>
      </c>
      <c r="F44" s="123" t="inlineStr"/>
      <c r="G44" s="139" t="n">
        <v>40</v>
      </c>
      <c r="H44" s="139" t="n">
        <v>40</v>
      </c>
      <c r="I44" s="139" t="n">
        <v>40</v>
      </c>
      <c r="J44" s="139" t="n">
        <v>40</v>
      </c>
      <c r="K44" s="139" t="n">
        <v>40</v>
      </c>
      <c r="L44" s="139" t="n">
        <v>40</v>
      </c>
      <c r="M44" s="139" t="n">
        <v>40</v>
      </c>
      <c r="N44" s="139" t="n">
        <v>40</v>
      </c>
      <c r="O44" s="139" t="n">
        <v>40</v>
      </c>
      <c r="P44" s="139" t="n">
        <v>40</v>
      </c>
      <c r="Q44" s="139" t="n">
        <v>40</v>
      </c>
      <c r="R44" s="139" t="n">
        <v>40</v>
      </c>
      <c r="S44" s="139" t="n">
        <v>40</v>
      </c>
      <c r="T44" s="139" t="n">
        <v>40</v>
      </c>
      <c r="U44" s="139" t="n">
        <v>40</v>
      </c>
      <c r="V44" s="139" t="n">
        <v>40</v>
      </c>
      <c r="W44" s="139" t="n">
        <v>40</v>
      </c>
      <c r="X44" s="139" t="n">
        <v>40</v>
      </c>
      <c r="Y44" s="139" t="n">
        <v>40</v>
      </c>
      <c r="Z44" s="139" t="n">
        <v>40</v>
      </c>
      <c r="AA44" s="139" t="n">
        <v>40</v>
      </c>
      <c r="AB44" s="139" t="n">
        <v>40</v>
      </c>
    </row>
    <row r="45" ht="15" customHeight="1">
      <c r="A45" s="121" t="inlineStr">
        <is>
          <t>Capital cost</t>
        </is>
      </c>
      <c r="B45" s="122" t="inlineStr">
        <is>
          <t>Switchyard &amp; Transformers ($000)</t>
        </is>
      </c>
      <c r="C45" s="121" t="inlineStr">
        <is>
          <t>F20</t>
        </is>
      </c>
      <c r="D45" s="121" t="inlineStr">
        <is>
          <t>$000</t>
        </is>
      </c>
      <c r="E45" s="121" t="inlineStr">
        <is>
          <t>Input</t>
        </is>
      </c>
      <c r="F45" s="123" t="inlineStr"/>
      <c r="G45" s="139" t="n">
        <v>786.21</v>
      </c>
      <c r="H45" s="139" t="n">
        <v>786.21</v>
      </c>
      <c r="I45" s="139" t="n">
        <v>786.21</v>
      </c>
      <c r="J45" s="139" t="n">
        <v>786.21</v>
      </c>
      <c r="K45" s="139" t="n">
        <v>786.21</v>
      </c>
      <c r="L45" s="139" t="n">
        <v>786.21</v>
      </c>
      <c r="M45" s="139" t="n">
        <v>786.21</v>
      </c>
      <c r="N45" s="139" t="n">
        <v>786.21</v>
      </c>
      <c r="O45" s="139" t="n">
        <v>786.21</v>
      </c>
      <c r="P45" s="139" t="n">
        <v>786.21</v>
      </c>
      <c r="Q45" s="139" t="n">
        <v>786.21</v>
      </c>
      <c r="R45" s="139" t="n">
        <v>786.21</v>
      </c>
      <c r="S45" s="139" t="n">
        <v>786.21</v>
      </c>
      <c r="T45" s="139" t="n">
        <v>786.21</v>
      </c>
      <c r="U45" s="139" t="n">
        <v>786.21</v>
      </c>
      <c r="V45" s="139" t="n">
        <v>786.21</v>
      </c>
      <c r="W45" s="139" t="n">
        <v>786.21</v>
      </c>
      <c r="X45" s="139" t="n">
        <v>786.21</v>
      </c>
      <c r="Y45" s="139" t="n">
        <v>786.21</v>
      </c>
      <c r="Z45" s="139" t="n">
        <v>786.21</v>
      </c>
      <c r="AA45" s="139" t="n">
        <v>786.21</v>
      </c>
      <c r="AB45" s="139" t="n">
        <v>786.21</v>
      </c>
    </row>
    <row r="46" ht="15" customHeight="1">
      <c r="A46" s="121" t="inlineStr">
        <is>
          <t>Capital cost</t>
        </is>
      </c>
      <c r="B46" s="122" t="inlineStr">
        <is>
          <t>Access Roads ($000/km)</t>
        </is>
      </c>
      <c r="C46" s="121" t="inlineStr">
        <is>
          <t>F21</t>
        </is>
      </c>
      <c r="D46" s="121" t="inlineStr">
        <is>
          <t>$000/km</t>
        </is>
      </c>
      <c r="E46" s="121" t="inlineStr">
        <is>
          <t>Input</t>
        </is>
      </c>
      <c r="F46" s="123" t="inlineStr"/>
      <c r="G46" s="139" t="n">
        <v>181.82</v>
      </c>
      <c r="H46" s="139" t="n">
        <v>181.82</v>
      </c>
      <c r="I46" s="139" t="n">
        <v>181.82</v>
      </c>
      <c r="J46" s="139" t="n">
        <v>181.82</v>
      </c>
      <c r="K46" s="139" t="n">
        <v>181.82</v>
      </c>
      <c r="L46" s="139" t="n">
        <v>181.82</v>
      </c>
      <c r="M46" s="139" t="n">
        <v>181.82</v>
      </c>
      <c r="N46" s="139" t="n">
        <v>181.82</v>
      </c>
      <c r="O46" s="139" t="n">
        <v>181.82</v>
      </c>
      <c r="P46" s="139" t="n">
        <v>181.82</v>
      </c>
      <c r="Q46" s="139" t="n">
        <v>181.82</v>
      </c>
      <c r="R46" s="139" t="n">
        <v>181.82</v>
      </c>
      <c r="S46" s="139" t="n">
        <v>181.82</v>
      </c>
      <c r="T46" s="139" t="n">
        <v>181.82</v>
      </c>
      <c r="U46" s="139" t="n">
        <v>181.82</v>
      </c>
      <c r="V46" s="139" t="n">
        <v>181.82</v>
      </c>
      <c r="W46" s="139" t="n">
        <v>181.82</v>
      </c>
      <c r="X46" s="139" t="n">
        <v>181.82</v>
      </c>
      <c r="Y46" s="139" t="n">
        <v>181.82</v>
      </c>
      <c r="Z46" s="139" t="n">
        <v>181.82</v>
      </c>
      <c r="AA46" s="139" t="n">
        <v>181.82</v>
      </c>
      <c r="AB46" s="139" t="n">
        <v>181.82</v>
      </c>
    </row>
    <row r="47" ht="15" customHeight="1">
      <c r="A47" s="121" t="inlineStr">
        <is>
          <t>Capital cost</t>
        </is>
      </c>
      <c r="B47" s="122" t="inlineStr">
        <is>
          <t>Distance of Access Road (km)</t>
        </is>
      </c>
      <c r="C47" s="121" t="inlineStr">
        <is>
          <t>F22</t>
        </is>
      </c>
      <c r="D47" s="121" t="inlineStr">
        <is>
          <t>km</t>
        </is>
      </c>
      <c r="E47" s="121" t="inlineStr">
        <is>
          <t>Input</t>
        </is>
      </c>
      <c r="F47" s="123" t="inlineStr"/>
      <c r="G47" s="138" t="n">
        <v>1</v>
      </c>
      <c r="H47" s="138" t="n">
        <v>1</v>
      </c>
      <c r="I47" s="138" t="n">
        <v>1</v>
      </c>
      <c r="J47" s="138" t="n">
        <v>1</v>
      </c>
      <c r="K47" s="138" t="n">
        <v>1</v>
      </c>
      <c r="L47" s="138" t="n">
        <v>1</v>
      </c>
      <c r="M47" s="138" t="n">
        <v>1</v>
      </c>
      <c r="N47" s="138" t="n">
        <v>1</v>
      </c>
      <c r="O47" s="138" t="n">
        <v>1</v>
      </c>
      <c r="P47" s="138" t="n">
        <v>1</v>
      </c>
      <c r="Q47" s="138" t="n">
        <v>1</v>
      </c>
      <c r="R47" s="138" t="n">
        <v>1</v>
      </c>
      <c r="S47" s="138" t="n">
        <v>1</v>
      </c>
      <c r="T47" s="138" t="n">
        <v>1</v>
      </c>
      <c r="U47" s="138" t="n">
        <v>1</v>
      </c>
      <c r="V47" s="138" t="n">
        <v>1</v>
      </c>
      <c r="W47" s="138" t="n">
        <v>1</v>
      </c>
      <c r="X47" s="138" t="n">
        <v>1</v>
      </c>
      <c r="Y47" s="138" t="n">
        <v>1</v>
      </c>
      <c r="Z47" s="138" t="n">
        <v>1</v>
      </c>
      <c r="AA47" s="138" t="n">
        <v>1</v>
      </c>
      <c r="AB47" s="138" t="n">
        <v>1</v>
      </c>
    </row>
    <row r="48" ht="24" customHeight="1">
      <c r="A48" s="121" t="inlineStr">
        <is>
          <t>Capital cost</t>
        </is>
      </c>
      <c r="B48" s="122" t="inlineStr">
        <is>
          <t>Dev't &amp; Other Costs (land, permits, etc) (% of EPC)</t>
        </is>
      </c>
      <c r="C48" s="121" t="inlineStr">
        <is>
          <t>F23</t>
        </is>
      </c>
      <c r="D48" s="121" t="inlineStr">
        <is>
          <t>% of EPC</t>
        </is>
      </c>
      <c r="E48" s="121" t="inlineStr">
        <is>
          <t>Input</t>
        </is>
      </c>
      <c r="F48" s="123" t="inlineStr">
        <is>
          <t>naruto / ERC Mid-Merit Financial Model default (ADV model reviewed 9 Oct 2026); unchanged across cases.</t>
        </is>
      </c>
      <c r="G48" s="127" t="n">
        <v>0.15</v>
      </c>
      <c r="H48" s="127" t="n">
        <v>0.15</v>
      </c>
      <c r="I48" s="127" t="n">
        <v>0.15</v>
      </c>
      <c r="J48" s="127" t="n">
        <v>0.15</v>
      </c>
      <c r="K48" s="127" t="n">
        <v>0.15</v>
      </c>
      <c r="L48" s="127" t="n">
        <v>0.15</v>
      </c>
      <c r="M48" s="127" t="n">
        <v>0.15</v>
      </c>
      <c r="N48" s="127" t="n">
        <v>0.15</v>
      </c>
      <c r="O48" s="127" t="n">
        <v>0.15</v>
      </c>
      <c r="P48" s="127" t="n">
        <v>0.15</v>
      </c>
      <c r="Q48" s="127" t="n">
        <v>0.15</v>
      </c>
      <c r="R48" s="127" t="n">
        <v>0.15</v>
      </c>
      <c r="S48" s="127" t="n">
        <v>0.15</v>
      </c>
      <c r="T48" s="127" t="n">
        <v>0.15</v>
      </c>
      <c r="U48" s="127" t="n">
        <v>0.15</v>
      </c>
      <c r="V48" s="127" t="n">
        <v>0.15</v>
      </c>
      <c r="W48" s="127" t="n">
        <v>0.15</v>
      </c>
      <c r="X48" s="127" t="n">
        <v>0.15</v>
      </c>
      <c r="Y48" s="127" t="n">
        <v>0.15</v>
      </c>
      <c r="Z48" s="127" t="n">
        <v>0.15</v>
      </c>
      <c r="AA48" s="127" t="n">
        <v>0.15</v>
      </c>
      <c r="AB48" s="127" t="n">
        <v>0.15</v>
      </c>
    </row>
    <row r="49" ht="15" customHeight="1">
      <c r="A49" s="121" t="inlineStr">
        <is>
          <t>Capital cost</t>
        </is>
      </c>
      <c r="B49" s="122" t="inlineStr">
        <is>
          <t>VAT on importation (70% recoverable) [A.22]</t>
        </is>
      </c>
      <c r="C49" s="121" t="inlineStr">
        <is>
          <t>F24</t>
        </is>
      </c>
      <c r="D49" s="121" t="inlineStr">
        <is>
          <t>%</t>
        </is>
      </c>
      <c r="E49" s="121" t="inlineStr">
        <is>
          <t>Calculated</t>
        </is>
      </c>
      <c r="F49" s="123" t="inlineStr"/>
      <c r="G49" s="128" t="n">
        <v>0.12</v>
      </c>
      <c r="H49" s="128" t="n">
        <v>0.12</v>
      </c>
      <c r="I49" s="128" t="n">
        <v>0.12</v>
      </c>
      <c r="J49" s="128" t="n">
        <v>0.12</v>
      </c>
      <c r="K49" s="128" t="n">
        <v>0.12</v>
      </c>
      <c r="L49" s="128" t="n">
        <v>0.12</v>
      </c>
      <c r="M49" s="128" t="n">
        <v>0.12</v>
      </c>
      <c r="N49" s="128" t="n">
        <v>0.12</v>
      </c>
      <c r="O49" s="128" t="n">
        <v>0.12</v>
      </c>
      <c r="P49" s="128" t="n">
        <v>0.12</v>
      </c>
      <c r="Q49" s="128" t="n">
        <v>0.12</v>
      </c>
      <c r="R49" s="128" t="n">
        <v>0.12</v>
      </c>
      <c r="S49" s="128" t="n">
        <v>0.12</v>
      </c>
      <c r="T49" s="128" t="n">
        <v>0.12</v>
      </c>
      <c r="U49" s="128" t="n">
        <v>0.12</v>
      </c>
      <c r="V49" s="128" t="n">
        <v>0.12</v>
      </c>
      <c r="W49" s="128" t="n">
        <v>0.12</v>
      </c>
      <c r="X49" s="128" t="n">
        <v>0.12</v>
      </c>
      <c r="Y49" s="128" t="n">
        <v>0.12</v>
      </c>
      <c r="Z49" s="128" t="n">
        <v>0.12</v>
      </c>
      <c r="AA49" s="128" t="n">
        <v>0.12</v>
      </c>
      <c r="AB49" s="128" t="n">
        <v>0.12</v>
      </c>
    </row>
    <row r="50" ht="15" customHeight="1">
      <c r="A50" s="121" t="inlineStr">
        <is>
          <t>Capital cost</t>
        </is>
      </c>
      <c r="B50" s="122" t="inlineStr">
        <is>
          <t>Customs Duty [A.22]</t>
        </is>
      </c>
      <c r="C50" s="121" t="inlineStr">
        <is>
          <t>F25</t>
        </is>
      </c>
      <c r="D50" s="121" t="inlineStr">
        <is>
          <t>%</t>
        </is>
      </c>
      <c r="E50" s="121" t="inlineStr">
        <is>
          <t>Calculated</t>
        </is>
      </c>
      <c r="F50" s="123" t="inlineStr"/>
      <c r="G50" s="128" t="n">
        <v>0.03</v>
      </c>
      <c r="H50" s="128" t="n">
        <v>0.03</v>
      </c>
      <c r="I50" s="128" t="n">
        <v>0.03</v>
      </c>
      <c r="J50" s="128" t="n">
        <v>0.03</v>
      </c>
      <c r="K50" s="128" t="n">
        <v>0.03</v>
      </c>
      <c r="L50" s="128" t="n">
        <v>0.03</v>
      </c>
      <c r="M50" s="128" t="n">
        <v>0.03</v>
      </c>
      <c r="N50" s="128" t="n">
        <v>0.03</v>
      </c>
      <c r="O50" s="128" t="n">
        <v>0.03</v>
      </c>
      <c r="P50" s="128" t="n">
        <v>0.03</v>
      </c>
      <c r="Q50" s="128" t="n">
        <v>0.03</v>
      </c>
      <c r="R50" s="128" t="n">
        <v>0.03</v>
      </c>
      <c r="S50" s="128" t="n">
        <v>0.03</v>
      </c>
      <c r="T50" s="128" t="n">
        <v>0.03</v>
      </c>
      <c r="U50" s="128" t="n">
        <v>0.03</v>
      </c>
      <c r="V50" s="128" t="n">
        <v>0.03</v>
      </c>
      <c r="W50" s="128" t="n">
        <v>0.03</v>
      </c>
      <c r="X50" s="128" t="n">
        <v>0.03</v>
      </c>
      <c r="Y50" s="128" t="n">
        <v>0.03</v>
      </c>
      <c r="Z50" s="128" t="n">
        <v>0.03</v>
      </c>
      <c r="AA50" s="128" t="n">
        <v>0.03</v>
      </c>
      <c r="AB50" s="128" t="n">
        <v>0.03</v>
      </c>
    </row>
    <row r="51" ht="24" customHeight="1">
      <c r="A51" s="121" t="inlineStr">
        <is>
          <t>Capital cost</t>
        </is>
      </c>
      <c r="B51" s="122" t="inlineStr">
        <is>
          <t>Initial Working Capital (% of EPC) [A.24]</t>
        </is>
      </c>
      <c r="C51" s="121" t="inlineStr">
        <is>
          <t>F26</t>
        </is>
      </c>
      <c r="D51" s="121" t="inlineStr">
        <is>
          <t>% of EPC</t>
        </is>
      </c>
      <c r="E51" s="121" t="inlineStr">
        <is>
          <t>Input</t>
        </is>
      </c>
      <c r="F51" s="123" t="inlineStr">
        <is>
          <t>naruto / ERC Mid-Merit Financial Model default (ADV model reviewed 9 Oct 2026); unchanged across cases. (Annex A.24).</t>
        </is>
      </c>
      <c r="G51" s="127" t="n">
        <v>0.1103</v>
      </c>
      <c r="H51" s="127" t="n">
        <v>0.1103</v>
      </c>
      <c r="I51" s="127" t="n">
        <v>0.1103</v>
      </c>
      <c r="J51" s="127" t="n">
        <v>0.1103</v>
      </c>
      <c r="K51" s="127" t="n">
        <v>0.1103</v>
      </c>
      <c r="L51" s="127" t="n">
        <v>0.1103</v>
      </c>
      <c r="M51" s="127" t="n">
        <v>0.1103</v>
      </c>
      <c r="N51" s="127" t="n">
        <v>0.1103</v>
      </c>
      <c r="O51" s="127" t="n">
        <v>0.1103</v>
      </c>
      <c r="P51" s="127" t="n">
        <v>0.1103</v>
      </c>
      <c r="Q51" s="127" t="n">
        <v>0.1103</v>
      </c>
      <c r="R51" s="127" t="n">
        <v>0.1103</v>
      </c>
      <c r="S51" s="127" t="n">
        <v>0.1103</v>
      </c>
      <c r="T51" s="127" t="n">
        <v>0.1103</v>
      </c>
      <c r="U51" s="127" t="n">
        <v>0.1103</v>
      </c>
      <c r="V51" s="127" t="n">
        <v>0.1103</v>
      </c>
      <c r="W51" s="127" t="n">
        <v>0.1103</v>
      </c>
      <c r="X51" s="127" t="n">
        <v>0.1103</v>
      </c>
      <c r="Y51" s="127" t="n">
        <v>0.1103</v>
      </c>
      <c r="Z51" s="127" t="n">
        <v>0.1103</v>
      </c>
      <c r="AA51" s="127" t="n">
        <v>0.1103</v>
      </c>
      <c r="AB51" s="127" t="n">
        <v>0.1103</v>
      </c>
    </row>
    <row r="52" ht="24" customHeight="1">
      <c r="A52" s="121" t="inlineStr">
        <is>
          <t>Capital cost</t>
        </is>
      </c>
      <c r="B52" s="122" t="inlineStr">
        <is>
          <t>Contingency (% of Total Cost)</t>
        </is>
      </c>
      <c r="C52" s="121" t="inlineStr">
        <is>
          <t>F27</t>
        </is>
      </c>
      <c r="D52" s="121" t="inlineStr">
        <is>
          <t>% of total cost</t>
        </is>
      </c>
      <c r="E52" s="121" t="inlineStr">
        <is>
          <t>Input</t>
        </is>
      </c>
      <c r="F52" s="123" t="inlineStr">
        <is>
          <t>naruto / ERC Mid-Merit Financial Model default (ADV model reviewed 9 Oct 2026); unchanged across cases.</t>
        </is>
      </c>
      <c r="G52" s="127" t="n">
        <v>0.04</v>
      </c>
      <c r="H52" s="127" t="n">
        <v>0.04</v>
      </c>
      <c r="I52" s="127" t="n">
        <v>0.04</v>
      </c>
      <c r="J52" s="127" t="n">
        <v>0.04</v>
      </c>
      <c r="K52" s="127" t="n">
        <v>0.04</v>
      </c>
      <c r="L52" s="127" t="n">
        <v>0.04</v>
      </c>
      <c r="M52" s="127" t="n">
        <v>0.04</v>
      </c>
      <c r="N52" s="127" t="n">
        <v>0.04</v>
      </c>
      <c r="O52" s="127" t="n">
        <v>0.04</v>
      </c>
      <c r="P52" s="127" t="n">
        <v>0.04</v>
      </c>
      <c r="Q52" s="127" t="n">
        <v>0.04</v>
      </c>
      <c r="R52" s="127" t="n">
        <v>0.04</v>
      </c>
      <c r="S52" s="127" t="n">
        <v>0.04</v>
      </c>
      <c r="T52" s="127" t="n">
        <v>0.04</v>
      </c>
      <c r="U52" s="127" t="n">
        <v>0.04</v>
      </c>
      <c r="V52" s="127" t="n">
        <v>0.04</v>
      </c>
      <c r="W52" s="127" t="n">
        <v>0.04</v>
      </c>
      <c r="X52" s="127" t="n">
        <v>0.04</v>
      </c>
      <c r="Y52" s="127" t="n">
        <v>0.04</v>
      </c>
      <c r="Z52" s="127" t="n">
        <v>0.04</v>
      </c>
      <c r="AA52" s="127" t="n">
        <v>0.04</v>
      </c>
      <c r="AB52" s="127" t="n">
        <v>0.04</v>
      </c>
    </row>
    <row r="53" ht="15" customHeight="1">
      <c r="A53" s="121" t="inlineStr">
        <is>
          <t>Capital cost</t>
        </is>
      </c>
      <c r="B53" s="122" t="inlineStr">
        <is>
          <t>Salvage Value, % [A.23]</t>
        </is>
      </c>
      <c r="C53" s="121" t="inlineStr">
        <is>
          <t>F35</t>
        </is>
      </c>
      <c r="D53" s="121" t="inlineStr">
        <is>
          <t>% of cost</t>
        </is>
      </c>
      <c r="E53" s="121" t="inlineStr">
        <is>
          <t>Input</t>
        </is>
      </c>
      <c r="F53" s="123" t="inlineStr">
        <is>
          <t>10% received in the last year (GAIR 8.8.7; C91 = 1).</t>
        </is>
      </c>
      <c r="G53" s="127" t="n">
        <v>0.1</v>
      </c>
      <c r="H53" s="127" t="n">
        <v>0.1</v>
      </c>
      <c r="I53" s="127" t="n">
        <v>0.1</v>
      </c>
      <c r="J53" s="127" t="n">
        <v>0.1</v>
      </c>
      <c r="K53" s="127" t="n">
        <v>0.1</v>
      </c>
      <c r="L53" s="127" t="n">
        <v>0.1</v>
      </c>
      <c r="M53" s="127" t="n">
        <v>0.1</v>
      </c>
      <c r="N53" s="127" t="n">
        <v>0.1</v>
      </c>
      <c r="O53" s="127" t="n">
        <v>0.1</v>
      </c>
      <c r="P53" s="127" t="n">
        <v>0.1</v>
      </c>
      <c r="Q53" s="127" t="n">
        <v>0.1</v>
      </c>
      <c r="R53" s="127" t="n">
        <v>0.1</v>
      </c>
      <c r="S53" s="127" t="n">
        <v>0.1</v>
      </c>
      <c r="T53" s="127" t="n">
        <v>0.1</v>
      </c>
      <c r="U53" s="127" t="n">
        <v>0.1</v>
      </c>
      <c r="V53" s="127" t="n">
        <v>0.1</v>
      </c>
      <c r="W53" s="127" t="n">
        <v>0.1</v>
      </c>
      <c r="X53" s="127" t="n">
        <v>0.1</v>
      </c>
      <c r="Y53" s="127" t="n">
        <v>0.1</v>
      </c>
      <c r="Z53" s="127" t="n">
        <v>0.1</v>
      </c>
      <c r="AA53" s="127" t="n">
        <v>0.1</v>
      </c>
      <c r="AB53" s="127" t="n">
        <v>0.1</v>
      </c>
    </row>
    <row r="54" ht="24" customHeight="1">
      <c r="A54" s="121" t="inlineStr">
        <is>
          <t>Capital cost</t>
        </is>
      </c>
      <c r="B54" s="122" t="inlineStr">
        <is>
          <t>Major Maintenance/Refurbishment (% of EPC) [A.21]</t>
        </is>
      </c>
      <c r="C54" s="121" t="inlineStr">
        <is>
          <t>F39</t>
        </is>
      </c>
      <c r="D54" s="121" t="inlineStr">
        <is>
          <t>% of EPC</t>
        </is>
      </c>
      <c r="E54" s="121" t="inlineStr">
        <is>
          <t>Input</t>
        </is>
      </c>
      <c r="F54" s="123" t="inlineStr">
        <is>
          <t>naruto / ERC Mid-Merit Financial Model default (ADV model reviewed 9 Oct 2026); unchanged across cases. (Annex A.21).</t>
        </is>
      </c>
      <c r="G54" s="127" t="n">
        <v>0.05</v>
      </c>
      <c r="H54" s="127" t="n">
        <v>0.05</v>
      </c>
      <c r="I54" s="127" t="n">
        <v>0.05</v>
      </c>
      <c r="J54" s="127" t="n">
        <v>0.05</v>
      </c>
      <c r="K54" s="127" t="n">
        <v>0.05</v>
      </c>
      <c r="L54" s="127" t="n">
        <v>0.05</v>
      </c>
      <c r="M54" s="127" t="n">
        <v>0.05</v>
      </c>
      <c r="N54" s="127" t="n">
        <v>0.05</v>
      </c>
      <c r="O54" s="127" t="n">
        <v>0.05</v>
      </c>
      <c r="P54" s="127" t="n">
        <v>0.05</v>
      </c>
      <c r="Q54" s="127" t="n">
        <v>0.05</v>
      </c>
      <c r="R54" s="127" t="n">
        <v>0.05</v>
      </c>
      <c r="S54" s="127" t="n">
        <v>0.05</v>
      </c>
      <c r="T54" s="127" t="n">
        <v>0.05</v>
      </c>
      <c r="U54" s="127" t="n">
        <v>0.05</v>
      </c>
      <c r="V54" s="127" t="n">
        <v>0.05</v>
      </c>
      <c r="W54" s="127" t="n">
        <v>0.05</v>
      </c>
      <c r="X54" s="127" t="n">
        <v>0.05</v>
      </c>
      <c r="Y54" s="127" t="n">
        <v>0.05</v>
      </c>
      <c r="Z54" s="127" t="n">
        <v>0.05</v>
      </c>
      <c r="AA54" s="127" t="n">
        <v>0.05</v>
      </c>
      <c r="AB54" s="127" t="n">
        <v>0.05</v>
      </c>
    </row>
    <row r="55" ht="24" customHeight="1">
      <c r="A55" s="121" t="inlineStr">
        <is>
          <t>Capital cost</t>
        </is>
      </c>
      <c r="B55" s="122" t="inlineStr">
        <is>
          <t>Timing of Refurbishment (yr from COD) [A.21]</t>
        </is>
      </c>
      <c r="C55" s="121" t="inlineStr">
        <is>
          <t>F40</t>
        </is>
      </c>
      <c r="D55" s="121" t="inlineStr">
        <is>
          <t>yr from COD</t>
        </is>
      </c>
      <c r="E55" s="121" t="inlineStr">
        <is>
          <t>Input</t>
        </is>
      </c>
      <c r="F55" s="123" t="inlineStr">
        <is>
          <t>naruto / ERC Mid-Merit Financial Model default (ADV model reviewed 9 Oct 2026); unchanged across cases. (Annex A.21).</t>
        </is>
      </c>
      <c r="G55" s="125" t="n">
        <v>15</v>
      </c>
      <c r="H55" s="125" t="n">
        <v>15</v>
      </c>
      <c r="I55" s="125" t="n">
        <v>15</v>
      </c>
      <c r="J55" s="125" t="n">
        <v>15</v>
      </c>
      <c r="K55" s="125" t="n">
        <v>15</v>
      </c>
      <c r="L55" s="125" t="n">
        <v>15</v>
      </c>
      <c r="M55" s="125" t="n">
        <v>15</v>
      </c>
      <c r="N55" s="125" t="n">
        <v>15</v>
      </c>
      <c r="O55" s="125" t="n">
        <v>15</v>
      </c>
      <c r="P55" s="125" t="n">
        <v>15</v>
      </c>
      <c r="Q55" s="125" t="n">
        <v>15</v>
      </c>
      <c r="R55" s="125" t="n">
        <v>15</v>
      </c>
      <c r="S55" s="125" t="n">
        <v>15</v>
      </c>
      <c r="T55" s="125" t="n">
        <v>15</v>
      </c>
      <c r="U55" s="125" t="n">
        <v>15</v>
      </c>
      <c r="V55" s="125" t="n">
        <v>15</v>
      </c>
      <c r="W55" s="125" t="n">
        <v>15</v>
      </c>
      <c r="X55" s="125" t="n">
        <v>15</v>
      </c>
      <c r="Y55" s="125" t="n">
        <v>15</v>
      </c>
      <c r="Z55" s="125" t="n">
        <v>15</v>
      </c>
      <c r="AA55" s="125" t="n">
        <v>15</v>
      </c>
      <c r="AB55" s="125" t="n">
        <v>15</v>
      </c>
    </row>
    <row r="57">
      <c r="A57" s="119" t="inlineStr">
        <is>
          <t>4. Uses and sources of funds</t>
        </is>
      </c>
      <c r="B57" s="120" t="n"/>
      <c r="C57" s="120" t="n"/>
      <c r="D57" s="120" t="n"/>
      <c r="E57" s="120" t="n"/>
      <c r="F57" s="120"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c r="AA57" s="120" t="n"/>
      <c r="AB57" s="120" t="n"/>
    </row>
    <row r="58" ht="15" customHeight="1">
      <c r="A58" s="121" t="inlineStr">
        <is>
          <t>Uses and sources of funds</t>
        </is>
      </c>
      <c r="B58" s="122" t="inlineStr">
        <is>
          <t>Land Cost</t>
        </is>
      </c>
      <c r="C58" s="121" t="inlineStr">
        <is>
          <t>C15</t>
        </is>
      </c>
      <c r="D58" s="121" t="inlineStr">
        <is>
          <t>$000</t>
        </is>
      </c>
      <c r="E58" s="121" t="inlineStr">
        <is>
          <t>Calculated</t>
        </is>
      </c>
      <c r="F58" s="123" t="inlineStr"/>
      <c r="G58" s="126" t="n">
        <v>79.67365670214799</v>
      </c>
      <c r="H58" s="126" t="n">
        <v>79.67365670214799</v>
      </c>
      <c r="I58" s="126" t="n">
        <v>79.67365670214798</v>
      </c>
      <c r="J58" s="126" t="n">
        <v>79.67365670214799</v>
      </c>
      <c r="K58" s="126" t="n">
        <v>79.67365670214798</v>
      </c>
      <c r="L58" s="126" t="n">
        <v>79.67365670214798</v>
      </c>
      <c r="M58" s="126" t="n">
        <v>79.67365670214799</v>
      </c>
      <c r="N58" s="126" t="n">
        <v>79.67365670214798</v>
      </c>
      <c r="O58" s="126" t="n">
        <v>79.67365670214798</v>
      </c>
      <c r="P58" s="126" t="n">
        <v>79.67365670214799</v>
      </c>
      <c r="Q58" s="126" t="n">
        <v>79.67365670214798</v>
      </c>
      <c r="R58" s="126" t="n">
        <v>79.67365670214799</v>
      </c>
      <c r="S58" s="126" t="n">
        <v>79.67365670214799</v>
      </c>
      <c r="T58" s="126" t="n">
        <v>79.67365670214798</v>
      </c>
      <c r="U58" s="126" t="n">
        <v>79.67365670214799</v>
      </c>
      <c r="V58" s="126" t="n">
        <v>79.67365670214798</v>
      </c>
      <c r="W58" s="126" t="n">
        <v>79.67365670214798</v>
      </c>
      <c r="X58" s="126" t="n">
        <v>79.67365670214799</v>
      </c>
      <c r="Y58" s="126" t="n">
        <v>79.67365670214798</v>
      </c>
      <c r="Z58" s="126" t="n">
        <v>79.67365670214798</v>
      </c>
      <c r="AA58" s="126" t="n">
        <v>79.67365670214799</v>
      </c>
      <c r="AB58" s="126" t="n">
        <v>79.67365670214798</v>
      </c>
    </row>
    <row r="59" ht="15" customHeight="1">
      <c r="A59" s="121" t="inlineStr">
        <is>
          <t>Uses and sources of funds</t>
        </is>
      </c>
      <c r="B59" s="122" t="inlineStr">
        <is>
          <t>EPC (Equipment, Balance of Plant, Transport)</t>
        </is>
      </c>
      <c r="C59" s="121" t="inlineStr">
        <is>
          <t>C16</t>
        </is>
      </c>
      <c r="D59" s="121" t="inlineStr">
        <is>
          <t>$000</t>
        </is>
      </c>
      <c r="E59" s="121" t="inlineStr">
        <is>
          <t>Calculated</t>
        </is>
      </c>
      <c r="F59" s="123" t="inlineStr"/>
      <c r="G59" s="126" t="n">
        <v>580359.2908516801</v>
      </c>
      <c r="H59" s="126" t="n">
        <v>206759.3131768332</v>
      </c>
      <c r="I59" s="126" t="n">
        <v>947474.93048312</v>
      </c>
      <c r="J59" s="126" t="n">
        <v>569314.2583809845</v>
      </c>
      <c r="K59" s="126" t="n">
        <v>908378.8890384991</v>
      </c>
      <c r="L59" s="126" t="n">
        <v>416445.6889945332</v>
      </c>
      <c r="M59" s="126" t="n">
        <v>250054.114975238</v>
      </c>
      <c r="N59" s="126" t="n">
        <v>399242.1354057976</v>
      </c>
      <c r="O59" s="126" t="n">
        <v>473341.6791550601</v>
      </c>
      <c r="P59" s="126" t="n">
        <v>284260.5589120834</v>
      </c>
      <c r="Q59" s="126" t="n">
        <v>453792.501866663</v>
      </c>
      <c r="R59" s="126" t="n">
        <v>580359.2908516801</v>
      </c>
      <c r="S59" s="126" t="n">
        <v>206759.3131768332</v>
      </c>
      <c r="T59" s="126" t="n">
        <v>947474.93048312</v>
      </c>
      <c r="U59" s="126" t="n">
        <v>569314.2583809845</v>
      </c>
      <c r="V59" s="126" t="n">
        <v>908378.8890384991</v>
      </c>
      <c r="W59" s="126" t="n">
        <v>416445.6889945332</v>
      </c>
      <c r="X59" s="126" t="n">
        <v>250054.114975238</v>
      </c>
      <c r="Y59" s="126" t="n">
        <v>399242.1354057976</v>
      </c>
      <c r="Z59" s="126" t="n">
        <v>473341.6791550601</v>
      </c>
      <c r="AA59" s="126" t="n">
        <v>284260.5589120834</v>
      </c>
      <c r="AB59" s="126" t="n">
        <v>453792.501866663</v>
      </c>
    </row>
    <row r="60" ht="15" customHeight="1">
      <c r="A60" s="121" t="inlineStr">
        <is>
          <t>Uses and sources of funds</t>
        </is>
      </c>
      <c r="B60" s="122" t="inlineStr">
        <is>
          <t>Transmission Line Interconnection Facility</t>
        </is>
      </c>
      <c r="C60" s="121" t="inlineStr">
        <is>
          <t>C17</t>
        </is>
      </c>
      <c r="D60" s="121" t="inlineStr">
        <is>
          <t>$000</t>
        </is>
      </c>
      <c r="E60" s="121" t="inlineStr">
        <is>
          <t>Calculated</t>
        </is>
      </c>
      <c r="F60" s="123" t="inlineStr"/>
      <c r="G60" s="126" t="n">
        <v>40</v>
      </c>
      <c r="H60" s="126" t="n">
        <v>40</v>
      </c>
      <c r="I60" s="126" t="n">
        <v>40</v>
      </c>
      <c r="J60" s="126" t="n">
        <v>40</v>
      </c>
      <c r="K60" s="126" t="n">
        <v>40</v>
      </c>
      <c r="L60" s="126" t="n">
        <v>40</v>
      </c>
      <c r="M60" s="126" t="n">
        <v>40</v>
      </c>
      <c r="N60" s="126" t="n">
        <v>40</v>
      </c>
      <c r="O60" s="126" t="n">
        <v>40</v>
      </c>
      <c r="P60" s="126" t="n">
        <v>40</v>
      </c>
      <c r="Q60" s="126" t="n">
        <v>40</v>
      </c>
      <c r="R60" s="126" t="n">
        <v>40</v>
      </c>
      <c r="S60" s="126" t="n">
        <v>40</v>
      </c>
      <c r="T60" s="126" t="n">
        <v>40</v>
      </c>
      <c r="U60" s="126" t="n">
        <v>40</v>
      </c>
      <c r="V60" s="126" t="n">
        <v>40</v>
      </c>
      <c r="W60" s="126" t="n">
        <v>40</v>
      </c>
      <c r="X60" s="126" t="n">
        <v>40</v>
      </c>
      <c r="Y60" s="126" t="n">
        <v>40</v>
      </c>
      <c r="Z60" s="126" t="n">
        <v>40</v>
      </c>
      <c r="AA60" s="126" t="n">
        <v>40</v>
      </c>
      <c r="AB60" s="126" t="n">
        <v>40</v>
      </c>
    </row>
    <row r="61" ht="15" customHeight="1">
      <c r="A61" s="121" t="inlineStr">
        <is>
          <t>Uses and sources of funds</t>
        </is>
      </c>
      <c r="B61" s="122" t="inlineStr">
        <is>
          <t>Sub-Station Facility</t>
        </is>
      </c>
      <c r="C61" s="121" t="inlineStr">
        <is>
          <t>C18</t>
        </is>
      </c>
      <c r="D61" s="121" t="inlineStr">
        <is>
          <t>$000</t>
        </is>
      </c>
      <c r="E61" s="121" t="inlineStr">
        <is>
          <t>Calculated</t>
        </is>
      </c>
      <c r="F61" s="123" t="inlineStr"/>
      <c r="G61" s="126" t="n">
        <v>786.21</v>
      </c>
      <c r="H61" s="126" t="n">
        <v>786.21</v>
      </c>
      <c r="I61" s="126" t="n">
        <v>786.21</v>
      </c>
      <c r="J61" s="126" t="n">
        <v>786.21</v>
      </c>
      <c r="K61" s="126" t="n">
        <v>786.21</v>
      </c>
      <c r="L61" s="126" t="n">
        <v>786.21</v>
      </c>
      <c r="M61" s="126" t="n">
        <v>786.21</v>
      </c>
      <c r="N61" s="126" t="n">
        <v>786.21</v>
      </c>
      <c r="O61" s="126" t="n">
        <v>786.21</v>
      </c>
      <c r="P61" s="126" t="n">
        <v>786.21</v>
      </c>
      <c r="Q61" s="126" t="n">
        <v>786.21</v>
      </c>
      <c r="R61" s="126" t="n">
        <v>786.21</v>
      </c>
      <c r="S61" s="126" t="n">
        <v>786.21</v>
      </c>
      <c r="T61" s="126" t="n">
        <v>786.21</v>
      </c>
      <c r="U61" s="126" t="n">
        <v>786.21</v>
      </c>
      <c r="V61" s="126" t="n">
        <v>786.21</v>
      </c>
      <c r="W61" s="126" t="n">
        <v>786.21</v>
      </c>
      <c r="X61" s="126" t="n">
        <v>786.21</v>
      </c>
      <c r="Y61" s="126" t="n">
        <v>786.21</v>
      </c>
      <c r="Z61" s="126" t="n">
        <v>786.21</v>
      </c>
      <c r="AA61" s="126" t="n">
        <v>786.21</v>
      </c>
      <c r="AB61" s="126" t="n">
        <v>786.21</v>
      </c>
    </row>
    <row r="62" ht="24" customHeight="1">
      <c r="A62" s="121" t="inlineStr">
        <is>
          <t>Uses and sources of funds</t>
        </is>
      </c>
      <c r="B62" s="122" t="inlineStr">
        <is>
          <t>Development &amp; Other Costs (Civil Works, Customs Duty)</t>
        </is>
      </c>
      <c r="C62" s="121" t="inlineStr">
        <is>
          <t>C19</t>
        </is>
      </c>
      <c r="D62" s="121" t="inlineStr">
        <is>
          <t>$000</t>
        </is>
      </c>
      <c r="E62" s="121" t="inlineStr">
        <is>
          <t>Calculated</t>
        </is>
      </c>
      <c r="F62" s="123" t="inlineStr"/>
      <c r="G62" s="126" t="n">
        <v>102628.4154867779</v>
      </c>
      <c r="H62" s="126" t="n">
        <v>36679.5879007601</v>
      </c>
      <c r="I62" s="126" t="n">
        <v>167432.611067474</v>
      </c>
      <c r="J62" s="126" t="n">
        <v>100678.7179877973</v>
      </c>
      <c r="K62" s="126" t="n">
        <v>160531.2774202566</v>
      </c>
      <c r="L62" s="126" t="n">
        <v>73693.96550324962</v>
      </c>
      <c r="M62" s="126" t="n">
        <v>44322.09750941646</v>
      </c>
      <c r="N62" s="126" t="n">
        <v>70657.15003941741</v>
      </c>
      <c r="O62" s="126" t="n">
        <v>83737.39181388501</v>
      </c>
      <c r="P62" s="126" t="n">
        <v>50360.30684647681</v>
      </c>
      <c r="Q62" s="126" t="n">
        <v>80286.52083026024</v>
      </c>
      <c r="R62" s="126" t="n">
        <v>102628.4154867779</v>
      </c>
      <c r="S62" s="126" t="n">
        <v>36679.5879007601</v>
      </c>
      <c r="T62" s="126" t="n">
        <v>167432.611067474</v>
      </c>
      <c r="U62" s="126" t="n">
        <v>100678.7179877973</v>
      </c>
      <c r="V62" s="126" t="n">
        <v>160531.2774202566</v>
      </c>
      <c r="W62" s="126" t="n">
        <v>73693.96550324962</v>
      </c>
      <c r="X62" s="126" t="n">
        <v>44322.09750941646</v>
      </c>
      <c r="Y62" s="126" t="n">
        <v>70657.15003941741</v>
      </c>
      <c r="Z62" s="126" t="n">
        <v>83737.39181388501</v>
      </c>
      <c r="AA62" s="126" t="n">
        <v>50360.30684647681</v>
      </c>
      <c r="AB62" s="126" t="n">
        <v>80286.52083026024</v>
      </c>
    </row>
    <row r="63" ht="15" customHeight="1">
      <c r="A63" s="121" t="inlineStr">
        <is>
          <t>Uses and sources of funds</t>
        </is>
      </c>
      <c r="B63" s="122" t="inlineStr">
        <is>
          <t>Construction Contingency</t>
        </is>
      </c>
      <c r="C63" s="121" t="inlineStr">
        <is>
          <t>C20</t>
        </is>
      </c>
      <c r="D63" s="121" t="inlineStr">
        <is>
          <t>$000</t>
        </is>
      </c>
      <c r="E63" s="121" t="inlineStr">
        <is>
          <t>Calculated</t>
        </is>
      </c>
      <c r="F63" s="123" t="inlineStr"/>
      <c r="G63" s="126" t="n">
        <v>26736.84857917728</v>
      </c>
      <c r="H63" s="126" t="n">
        <v>9551.249606134326</v>
      </c>
      <c r="I63" s="126" t="n">
        <v>43624.16800222352</v>
      </c>
      <c r="J63" s="126" t="n">
        <v>26228.77708552528</v>
      </c>
      <c r="K63" s="126" t="n">
        <v>41825.75009577096</v>
      </c>
      <c r="L63" s="126" t="n">
        <v>19196.82289374853</v>
      </c>
      <c r="M63" s="126" t="n">
        <v>11542.81048886095</v>
      </c>
      <c r="N63" s="126" t="n">
        <v>18405.45942866669</v>
      </c>
      <c r="O63" s="126" t="n">
        <v>21814.03844113276</v>
      </c>
      <c r="P63" s="126" t="n">
        <v>13116.30690995584</v>
      </c>
      <c r="Q63" s="126" t="n">
        <v>20914.7762858665</v>
      </c>
      <c r="R63" s="126" t="n">
        <v>26736.84857917728</v>
      </c>
      <c r="S63" s="126" t="n">
        <v>9551.249606134326</v>
      </c>
      <c r="T63" s="126" t="n">
        <v>43624.16800222352</v>
      </c>
      <c r="U63" s="126" t="n">
        <v>26228.77708552528</v>
      </c>
      <c r="V63" s="126" t="n">
        <v>41825.75009577096</v>
      </c>
      <c r="W63" s="126" t="n">
        <v>19196.82289374853</v>
      </c>
      <c r="X63" s="126" t="n">
        <v>11542.81048886095</v>
      </c>
      <c r="Y63" s="126" t="n">
        <v>18405.45942866669</v>
      </c>
      <c r="Z63" s="126" t="n">
        <v>21814.03844113276</v>
      </c>
      <c r="AA63" s="126" t="n">
        <v>13116.30690995584</v>
      </c>
      <c r="AB63" s="126" t="n">
        <v>20914.7762858665</v>
      </c>
    </row>
    <row r="64" ht="15" customHeight="1">
      <c r="A64" s="121" t="inlineStr">
        <is>
          <t>Uses and sources of funds</t>
        </is>
      </c>
      <c r="B64" s="122" t="inlineStr">
        <is>
          <t>Value Added Tax</t>
        </is>
      </c>
      <c r="C64" s="121" t="inlineStr">
        <is>
          <t>C21</t>
        </is>
      </c>
      <c r="D64" s="121" t="inlineStr">
        <is>
          <t>$000</t>
        </is>
      </c>
      <c r="E64" s="121" t="inlineStr">
        <is>
          <t>Calculated</t>
        </is>
      </c>
      <c r="F64" s="123" t="inlineStr"/>
      <c r="G64" s="126" t="n">
        <v>50544.84852129683</v>
      </c>
      <c r="H64" s="126" t="n">
        <v>18008.74087208496</v>
      </c>
      <c r="I64" s="126" t="n">
        <v>82516.24756980907</v>
      </c>
      <c r="J64" s="126" t="n">
        <v>49582.95776398968</v>
      </c>
      <c r="K64" s="126" t="n">
        <v>79111.44808074881</v>
      </c>
      <c r="L64" s="126" t="n">
        <v>36269.92637492636</v>
      </c>
      <c r="M64" s="126" t="n">
        <v>21779.2023713899</v>
      </c>
      <c r="N64" s="126" t="n">
        <v>34771.70178991518</v>
      </c>
      <c r="O64" s="126" t="n">
        <v>41224.88936018253</v>
      </c>
      <c r="P64" s="126" t="n">
        <v>24758.17616349904</v>
      </c>
      <c r="Q64" s="126" t="n">
        <v>39522.38889252355</v>
      </c>
      <c r="R64" s="126" t="n">
        <v>50544.84852129683</v>
      </c>
      <c r="S64" s="126" t="n">
        <v>18008.74087208496</v>
      </c>
      <c r="T64" s="126" t="n">
        <v>82516.24756980907</v>
      </c>
      <c r="U64" s="126" t="n">
        <v>49582.95776398968</v>
      </c>
      <c r="V64" s="126" t="n">
        <v>79111.44808074881</v>
      </c>
      <c r="W64" s="126" t="n">
        <v>36269.92637492636</v>
      </c>
      <c r="X64" s="126" t="n">
        <v>21779.2023713899</v>
      </c>
      <c r="Y64" s="126" t="n">
        <v>34771.70178991518</v>
      </c>
      <c r="Z64" s="126" t="n">
        <v>41224.88936018253</v>
      </c>
      <c r="AA64" s="126" t="n">
        <v>24758.17616349904</v>
      </c>
      <c r="AB64" s="126" t="n">
        <v>39522.38889252355</v>
      </c>
    </row>
    <row r="65" ht="15" customHeight="1">
      <c r="A65" s="121" t="inlineStr">
        <is>
          <t>Uses and sources of funds</t>
        </is>
      </c>
      <c r="B65" s="122" t="inlineStr">
        <is>
          <t>Financing Costs</t>
        </is>
      </c>
      <c r="C65" s="121" t="inlineStr">
        <is>
          <t>C22</t>
        </is>
      </c>
      <c r="D65" s="121" t="inlineStr">
        <is>
          <t>$000</t>
        </is>
      </c>
      <c r="E65" s="121" t="inlineStr">
        <is>
          <t>Calculated</t>
        </is>
      </c>
      <c r="F65" s="123" t="inlineStr"/>
      <c r="G65" s="126" t="n">
        <v>14811.0831234257</v>
      </c>
      <c r="H65" s="126" t="n">
        <v>5289.672544080604</v>
      </c>
      <c r="I65" s="126" t="n">
        <v>153539.6743896757</v>
      </c>
      <c r="J65" s="126" t="n">
        <v>65494.04242620258</v>
      </c>
      <c r="K65" s="126" t="n">
        <v>84052.56024733675</v>
      </c>
      <c r="L65" s="126" t="n">
        <v>67553.75308367999</v>
      </c>
      <c r="M65" s="126" t="n">
        <v>28814.92211804088</v>
      </c>
      <c r="N65" s="126" t="n">
        <v>36981.26214483411</v>
      </c>
      <c r="O65" s="126" t="n">
        <v>76766.53036481881</v>
      </c>
      <c r="P65" s="126" t="n">
        <v>32744.8278645272</v>
      </c>
      <c r="Q65" s="126" t="n">
        <v>42024.61551261343</v>
      </c>
      <c r="R65" s="126" t="n">
        <v>14811.0831234257</v>
      </c>
      <c r="S65" s="126" t="n">
        <v>5289.672544080604</v>
      </c>
      <c r="T65" s="126" t="n">
        <v>153539.6743896757</v>
      </c>
      <c r="U65" s="126" t="n">
        <v>65494.04242620258</v>
      </c>
      <c r="V65" s="126" t="n">
        <v>84052.56024733675</v>
      </c>
      <c r="W65" s="126" t="n">
        <v>67553.75308367999</v>
      </c>
      <c r="X65" s="126" t="n">
        <v>28814.92211804088</v>
      </c>
      <c r="Y65" s="126" t="n">
        <v>36981.26214483411</v>
      </c>
      <c r="Z65" s="126" t="n">
        <v>76766.53036481881</v>
      </c>
      <c r="AA65" s="126" t="n">
        <v>32744.8278645272</v>
      </c>
      <c r="AB65" s="126" t="n">
        <v>42024.61551261343</v>
      </c>
    </row>
    <row r="66" ht="15" customHeight="1">
      <c r="A66" s="121" t="inlineStr">
        <is>
          <t>Uses and sources of funds</t>
        </is>
      </c>
      <c r="B66" s="122" t="inlineStr">
        <is>
          <t>Initial Working Capital</t>
        </is>
      </c>
      <c r="C66" s="121" t="inlineStr">
        <is>
          <t>C23</t>
        </is>
      </c>
      <c r="D66" s="121" t="inlineStr">
        <is>
          <t>$000</t>
        </is>
      </c>
      <c r="E66" s="121" t="inlineStr">
        <is>
          <t>Calculated</t>
        </is>
      </c>
      <c r="F66" s="123" t="inlineStr"/>
      <c r="G66" s="126" t="n">
        <v>64013.62978094031</v>
      </c>
      <c r="H66" s="126" t="n">
        <v>22805.55224340469</v>
      </c>
      <c r="I66" s="126" t="n">
        <v>104506.4848322881</v>
      </c>
      <c r="J66" s="126" t="n">
        <v>62795.36269942258</v>
      </c>
      <c r="K66" s="126" t="n">
        <v>100194.1914609464</v>
      </c>
      <c r="L66" s="126" t="n">
        <v>45933.95949609701</v>
      </c>
      <c r="M66" s="126" t="n">
        <v>27580.96888176876</v>
      </c>
      <c r="N66" s="126" t="n">
        <v>44036.40753525947</v>
      </c>
      <c r="O66" s="126" t="n">
        <v>52209.58721080312</v>
      </c>
      <c r="P66" s="126" t="n">
        <v>31353.9396480028</v>
      </c>
      <c r="Q66" s="126" t="n">
        <v>50053.31295589292</v>
      </c>
      <c r="R66" s="126" t="n">
        <v>64013.62978094031</v>
      </c>
      <c r="S66" s="126" t="n">
        <v>22805.55224340469</v>
      </c>
      <c r="T66" s="126" t="n">
        <v>104506.4848322881</v>
      </c>
      <c r="U66" s="126" t="n">
        <v>62795.36269942258</v>
      </c>
      <c r="V66" s="126" t="n">
        <v>100194.1914609464</v>
      </c>
      <c r="W66" s="126" t="n">
        <v>45933.95949609701</v>
      </c>
      <c r="X66" s="126" t="n">
        <v>27580.96888176876</v>
      </c>
      <c r="Y66" s="126" t="n">
        <v>44036.40753525947</v>
      </c>
      <c r="Z66" s="126" t="n">
        <v>52209.58721080312</v>
      </c>
      <c r="AA66" s="126" t="n">
        <v>31353.9396480028</v>
      </c>
      <c r="AB66" s="126" t="n">
        <v>50053.31295589292</v>
      </c>
    </row>
    <row r="67" ht="15" customHeight="1">
      <c r="A67" s="121" t="inlineStr">
        <is>
          <t>Uses and sources of funds</t>
        </is>
      </c>
      <c r="B67" s="122" t="inlineStr">
        <is>
          <t>Total Uses of Fund - $000</t>
        </is>
      </c>
      <c r="C67" s="121" t="inlineStr">
        <is>
          <t>C24</t>
        </is>
      </c>
      <c r="D67" s="121" t="inlineStr">
        <is>
          <t>$000</t>
        </is>
      </c>
      <c r="E67" s="121" t="inlineStr">
        <is>
          <t>Calculated</t>
        </is>
      </c>
      <c r="F67" s="123" t="inlineStr"/>
      <c r="G67" s="126" t="n">
        <v>840000.0000000003</v>
      </c>
      <c r="H67" s="126" t="n">
        <v>299999.9999999999</v>
      </c>
      <c r="I67" s="126" t="n">
        <v>1500000.000001293</v>
      </c>
      <c r="J67" s="126" t="n">
        <v>875000.000000624</v>
      </c>
      <c r="K67" s="126" t="n">
        <v>1375000.000000261</v>
      </c>
      <c r="L67" s="126" t="n">
        <v>660000.0000029369</v>
      </c>
      <c r="M67" s="126" t="n">
        <v>385000.0000014171</v>
      </c>
      <c r="N67" s="126" t="n">
        <v>605000.0000005927</v>
      </c>
      <c r="O67" s="126" t="n">
        <v>750000.0000025844</v>
      </c>
      <c r="P67" s="126" t="n">
        <v>437500.0000012473</v>
      </c>
      <c r="Q67" s="126" t="n">
        <v>687500.0000005218</v>
      </c>
      <c r="R67" s="126" t="n">
        <v>840000.0000000003</v>
      </c>
      <c r="S67" s="126" t="n">
        <v>299999.9999999999</v>
      </c>
      <c r="T67" s="126" t="n">
        <v>1500000.000001293</v>
      </c>
      <c r="U67" s="126" t="n">
        <v>875000.000000624</v>
      </c>
      <c r="V67" s="126" t="n">
        <v>1375000.000000261</v>
      </c>
      <c r="W67" s="126" t="n">
        <v>660000.0000029369</v>
      </c>
      <c r="X67" s="126" t="n">
        <v>385000.0000014171</v>
      </c>
      <c r="Y67" s="126" t="n">
        <v>605000.0000005927</v>
      </c>
      <c r="Z67" s="126" t="n">
        <v>750000.0000025844</v>
      </c>
      <c r="AA67" s="126" t="n">
        <v>437500.0000012473</v>
      </c>
      <c r="AB67" s="126" t="n">
        <v>687500.0000005218</v>
      </c>
    </row>
    <row r="68" ht="15" customHeight="1">
      <c r="A68" s="121" t="inlineStr">
        <is>
          <t>Uses and sources of funds</t>
        </is>
      </c>
      <c r="B68" s="122" t="inlineStr">
        <is>
          <t>Debt</t>
        </is>
      </c>
      <c r="C68" s="121" t="inlineStr">
        <is>
          <t>C27</t>
        </is>
      </c>
      <c r="D68" s="121" t="inlineStr">
        <is>
          <t>$000</t>
        </is>
      </c>
      <c r="E68" s="121" t="inlineStr">
        <is>
          <t>Calculated</t>
        </is>
      </c>
      <c r="F68" s="123" t="inlineStr"/>
      <c r="G68" s="126" t="n">
        <v>588000.0000000002</v>
      </c>
      <c r="H68" s="126" t="n">
        <v>210000</v>
      </c>
      <c r="I68" s="126" t="n">
        <v>1050000.000000905</v>
      </c>
      <c r="J68" s="126" t="n">
        <v>612500.0000004368</v>
      </c>
      <c r="K68" s="126" t="n">
        <v>962500.0000001823</v>
      </c>
      <c r="L68" s="126" t="n">
        <v>462000.0000020558</v>
      </c>
      <c r="M68" s="126" t="n">
        <v>269500.000000992</v>
      </c>
      <c r="N68" s="126" t="n">
        <v>423500.0000004149</v>
      </c>
      <c r="O68" s="126" t="n">
        <v>525000.0000018091</v>
      </c>
      <c r="P68" s="126" t="n">
        <v>306250.0000008731</v>
      </c>
      <c r="Q68" s="126" t="n">
        <v>481250.0000003652</v>
      </c>
      <c r="R68" s="126" t="n">
        <v>588000.0000000002</v>
      </c>
      <c r="S68" s="126" t="n">
        <v>210000</v>
      </c>
      <c r="T68" s="126" t="n">
        <v>1050000.000000905</v>
      </c>
      <c r="U68" s="126" t="n">
        <v>612500.0000004368</v>
      </c>
      <c r="V68" s="126" t="n">
        <v>962500.0000001823</v>
      </c>
      <c r="W68" s="126" t="n">
        <v>462000.0000020558</v>
      </c>
      <c r="X68" s="126" t="n">
        <v>269500.000000992</v>
      </c>
      <c r="Y68" s="126" t="n">
        <v>423500.0000004149</v>
      </c>
      <c r="Z68" s="126" t="n">
        <v>525000.0000018091</v>
      </c>
      <c r="AA68" s="126" t="n">
        <v>306250.0000008731</v>
      </c>
      <c r="AB68" s="126" t="n">
        <v>481250.0000003652</v>
      </c>
    </row>
    <row r="69" ht="15" customHeight="1">
      <c r="A69" s="121" t="inlineStr">
        <is>
          <t>Uses and sources of funds</t>
        </is>
      </c>
      <c r="B69" s="122" t="inlineStr">
        <is>
          <t>Equity</t>
        </is>
      </c>
      <c r="C69" s="121" t="inlineStr">
        <is>
          <t>C28</t>
        </is>
      </c>
      <c r="D69" s="121" t="inlineStr">
        <is>
          <t>$000</t>
        </is>
      </c>
      <c r="E69" s="121" t="inlineStr">
        <is>
          <t>Calculated</t>
        </is>
      </c>
      <c r="F69" s="123" t="inlineStr"/>
      <c r="G69" s="126" t="n">
        <v>252000.0000000002</v>
      </c>
      <c r="H69" s="126" t="n">
        <v>90000</v>
      </c>
      <c r="I69" s="126" t="n">
        <v>450000.0000003878</v>
      </c>
      <c r="J69" s="126" t="n">
        <v>262500.0000001873</v>
      </c>
      <c r="K69" s="126" t="n">
        <v>412500.0000000783</v>
      </c>
      <c r="L69" s="126" t="n">
        <v>198000.0000008811</v>
      </c>
      <c r="M69" s="126" t="n">
        <v>115500.0000004251</v>
      </c>
      <c r="N69" s="126" t="n">
        <v>181500.0000001778</v>
      </c>
      <c r="O69" s="126" t="n">
        <v>225000.0000007753</v>
      </c>
      <c r="P69" s="126" t="n">
        <v>131250.0000003742</v>
      </c>
      <c r="Q69" s="126" t="n">
        <v>206250.0000001566</v>
      </c>
      <c r="R69" s="126" t="n">
        <v>252000.0000000002</v>
      </c>
      <c r="S69" s="126" t="n">
        <v>90000</v>
      </c>
      <c r="T69" s="126" t="n">
        <v>450000.0000003878</v>
      </c>
      <c r="U69" s="126" t="n">
        <v>262500.0000001873</v>
      </c>
      <c r="V69" s="126" t="n">
        <v>412500.0000000783</v>
      </c>
      <c r="W69" s="126" t="n">
        <v>198000.0000008811</v>
      </c>
      <c r="X69" s="126" t="n">
        <v>115500.0000004251</v>
      </c>
      <c r="Y69" s="126" t="n">
        <v>181500.0000001778</v>
      </c>
      <c r="Z69" s="126" t="n">
        <v>225000.0000007753</v>
      </c>
      <c r="AA69" s="126" t="n">
        <v>131250.0000003742</v>
      </c>
      <c r="AB69" s="126" t="n">
        <v>206250.0000001566</v>
      </c>
    </row>
    <row r="70" ht="15" customHeight="1">
      <c r="A70" s="121" t="inlineStr">
        <is>
          <t>Uses and sources of funds</t>
        </is>
      </c>
      <c r="B70" s="122" t="inlineStr">
        <is>
          <t>Total Sources of Fund</t>
        </is>
      </c>
      <c r="C70" s="121" t="inlineStr">
        <is>
          <t>C29</t>
        </is>
      </c>
      <c r="D70" s="121" t="inlineStr">
        <is>
          <t>$000</t>
        </is>
      </c>
      <c r="E70" s="121" t="inlineStr">
        <is>
          <t>Calculated</t>
        </is>
      </c>
      <c r="F70" s="123" t="inlineStr"/>
      <c r="G70" s="126" t="n">
        <v>840000.0000000005</v>
      </c>
      <c r="H70" s="126" t="n">
        <v>300000</v>
      </c>
      <c r="I70" s="126" t="n">
        <v>1500000.000001292</v>
      </c>
      <c r="J70" s="126" t="n">
        <v>875000.000000624</v>
      </c>
      <c r="K70" s="126" t="n">
        <v>1375000.000000261</v>
      </c>
      <c r="L70" s="126" t="n">
        <v>660000.0000029369</v>
      </c>
      <c r="M70" s="126" t="n">
        <v>385000.0000014171</v>
      </c>
      <c r="N70" s="126" t="n">
        <v>605000.0000005928</v>
      </c>
      <c r="O70" s="126" t="n">
        <v>750000.0000025844</v>
      </c>
      <c r="P70" s="126" t="n">
        <v>437500.0000012473</v>
      </c>
      <c r="Q70" s="126" t="n">
        <v>687500.0000005218</v>
      </c>
      <c r="R70" s="126" t="n">
        <v>840000.0000000005</v>
      </c>
      <c r="S70" s="126" t="n">
        <v>300000</v>
      </c>
      <c r="T70" s="126" t="n">
        <v>1500000.000001292</v>
      </c>
      <c r="U70" s="126" t="n">
        <v>875000.000000624</v>
      </c>
      <c r="V70" s="126" t="n">
        <v>1375000.000000261</v>
      </c>
      <c r="W70" s="126" t="n">
        <v>660000.0000029369</v>
      </c>
      <c r="X70" s="126" t="n">
        <v>385000.0000014171</v>
      </c>
      <c r="Y70" s="126" t="n">
        <v>605000.0000005928</v>
      </c>
      <c r="Z70" s="126" t="n">
        <v>750000.0000025844</v>
      </c>
      <c r="AA70" s="126" t="n">
        <v>437500.0000012473</v>
      </c>
      <c r="AB70" s="126" t="n">
        <v>687500.0000005218</v>
      </c>
    </row>
    <row r="72">
      <c r="A72" s="119" t="inlineStr">
        <is>
          <t>5. O&amp;M and G&amp;A (logistics excluded: CLLC is in the Fuel Cost)</t>
        </is>
      </c>
      <c r="B72" s="120" t="n"/>
      <c r="C72" s="120" t="n"/>
      <c r="D72" s="120" t="n"/>
      <c r="E72" s="120" t="n"/>
      <c r="F72" s="120"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c r="AA72" s="120" t="n"/>
      <c r="AB72" s="120" t="n"/>
    </row>
    <row r="73" ht="15" customHeight="1">
      <c r="A73" s="121" t="inlineStr">
        <is>
          <t>O&amp;M and G&amp;A</t>
        </is>
      </c>
      <c r="B73" s="122" t="inlineStr">
        <is>
          <t>Fixed O&amp;M Costs ($000/unit/year) [A.4]</t>
        </is>
      </c>
      <c r="C73" s="121" t="inlineStr">
        <is>
          <t>F36</t>
        </is>
      </c>
      <c r="D73" s="121" t="inlineStr">
        <is>
          <t>$000/unit/yr</t>
        </is>
      </c>
      <c r="E73" s="121" t="inlineStr">
        <is>
          <t>Input</t>
        </is>
      </c>
      <c r="F73" s="123" t="inlineStr">
        <is>
          <t>US$/kW-yr x unit MW.</t>
        </is>
      </c>
      <c r="G73" s="124" t="n">
        <v>6398</v>
      </c>
      <c r="H73" s="124" t="n">
        <v>6855</v>
      </c>
      <c r="I73" s="124" t="n">
        <v>6855</v>
      </c>
      <c r="J73" s="124" t="n">
        <v>1700</v>
      </c>
      <c r="K73" s="124" t="n">
        <v>825</v>
      </c>
      <c r="L73" s="124" t="n">
        <v>6032.4</v>
      </c>
      <c r="M73" s="124" t="n">
        <v>1870</v>
      </c>
      <c r="N73" s="124" t="n">
        <v>363</v>
      </c>
      <c r="O73" s="124" t="n">
        <v>6855</v>
      </c>
      <c r="P73" s="124" t="n">
        <v>2125</v>
      </c>
      <c r="Q73" s="124" t="n">
        <v>412.5</v>
      </c>
      <c r="R73" s="124" t="n">
        <v>6398</v>
      </c>
      <c r="S73" s="124" t="n">
        <v>6855</v>
      </c>
      <c r="T73" s="124" t="n">
        <v>6855</v>
      </c>
      <c r="U73" s="124" t="n">
        <v>1700</v>
      </c>
      <c r="V73" s="124" t="n">
        <v>825</v>
      </c>
      <c r="W73" s="124" t="n">
        <v>6032.4</v>
      </c>
      <c r="X73" s="124" t="n">
        <v>1870</v>
      </c>
      <c r="Y73" s="124" t="n">
        <v>363</v>
      </c>
      <c r="Z73" s="124" t="n">
        <v>6855</v>
      </c>
      <c r="AA73" s="124" t="n">
        <v>2125</v>
      </c>
      <c r="AB73" s="124" t="n">
        <v>412.5</v>
      </c>
    </row>
    <row r="74" ht="24" customHeight="1">
      <c r="A74" s="121" t="inlineStr">
        <is>
          <t>O&amp;M and G&amp;A</t>
        </is>
      </c>
      <c r="B74" s="122" t="inlineStr">
        <is>
          <t>Variable Non-Fuel O&amp;M, excl. logistics ($000/MW/yr) [A.5]</t>
        </is>
      </c>
      <c r="C74" s="121" t="inlineStr">
        <is>
          <t>F37</t>
        </is>
      </c>
      <c r="D74" s="121" t="inlineStr">
        <is>
          <t>$000/MW/yr</t>
        </is>
      </c>
      <c r="E74" s="121" t="inlineStr">
        <is>
          <t>Input</t>
        </is>
      </c>
      <c r="F74" s="123" t="inlineStr">
        <is>
          <t>VOM x 8,760 x energy CF / 1,000. Logistics (CLLC) removed: paid through the Fuel Cost (GAIR Sec. 8.6, decision of 19 Oct 2026).</t>
        </is>
      </c>
      <c r="G74" s="140" t="n">
        <v>11.5632</v>
      </c>
      <c r="H74" s="140" t="n">
        <v>7.3584</v>
      </c>
      <c r="I74" s="140" t="n">
        <v>7.3584</v>
      </c>
      <c r="J74" s="140" t="n">
        <v>16.5564</v>
      </c>
      <c r="K74" s="140" t="n">
        <v>13.98096</v>
      </c>
      <c r="L74" s="140" t="n">
        <v>7.3584</v>
      </c>
      <c r="M74" s="140" t="n">
        <v>16.5564</v>
      </c>
      <c r="N74" s="140" t="n">
        <v>13.98096</v>
      </c>
      <c r="O74" s="140" t="n">
        <v>7.3584</v>
      </c>
      <c r="P74" s="140" t="n">
        <v>16.5564</v>
      </c>
      <c r="Q74" s="140" t="n">
        <v>13.98096</v>
      </c>
      <c r="R74" s="140" t="n">
        <v>11.7034373326583</v>
      </c>
      <c r="S74" s="140" t="n">
        <v>11.7034373326583</v>
      </c>
      <c r="T74" s="140" t="n">
        <v>11.0593409061875</v>
      </c>
      <c r="U74" s="140" t="n">
        <v>24.8835170389218</v>
      </c>
      <c r="V74" s="140" t="n">
        <v>21.0127477217562</v>
      </c>
      <c r="W74" s="140" t="n">
        <v>11.0593409061875</v>
      </c>
      <c r="X74" s="140" t="n">
        <v>24.8835170389218</v>
      </c>
      <c r="Y74" s="140" t="n">
        <v>21.0127477217562</v>
      </c>
      <c r="Z74" s="140" t="n">
        <v>11.0593409061875</v>
      </c>
      <c r="AA74" s="140" t="n">
        <v>24.8835170389218</v>
      </c>
      <c r="AB74" s="140" t="n">
        <v>21.0127477217562</v>
      </c>
    </row>
    <row r="75" ht="24" customHeight="1">
      <c r="A75" s="121" t="inlineStr">
        <is>
          <t>O&amp;M and G&amp;A</t>
        </is>
      </c>
      <c r="B75" s="122" t="inlineStr">
        <is>
          <t>G&amp;A Costs ($000/year) [A.6]</t>
        </is>
      </c>
      <c r="C75" s="121" t="inlineStr">
        <is>
          <t>F41</t>
        </is>
      </c>
      <c r="D75" s="121" t="inlineStr">
        <is>
          <t>$000/yr</t>
        </is>
      </c>
      <c r="E75" s="121" t="inlineStr">
        <is>
          <t>Input</t>
        </is>
      </c>
      <c r="F75" s="123" t="inlineStr">
        <is>
          <t>6% of fixed + variable O&amp;M (draft Resolution 2; corporate overhead standard).</t>
        </is>
      </c>
      <c r="G75" s="124" t="n">
        <v>2122.9488</v>
      </c>
      <c r="H75" s="124" t="n">
        <v>632.052</v>
      </c>
      <c r="I75" s="124" t="n">
        <v>1264.104</v>
      </c>
      <c r="J75" s="124" t="n">
        <v>1503.384</v>
      </c>
      <c r="K75" s="124" t="n">
        <v>1828.8576</v>
      </c>
      <c r="L75" s="124" t="n">
        <v>556.2057600000001</v>
      </c>
      <c r="M75" s="124" t="n">
        <v>661.48896</v>
      </c>
      <c r="N75" s="124" t="n">
        <v>804.697344</v>
      </c>
      <c r="O75" s="124" t="n">
        <v>632.052</v>
      </c>
      <c r="P75" s="124" t="n">
        <v>751.692</v>
      </c>
      <c r="Q75" s="124" t="n">
        <v>914.4288</v>
      </c>
      <c r="R75" s="124" t="n">
        <v>2134.72873594329</v>
      </c>
      <c r="S75" s="124" t="n">
        <v>762.403119979748</v>
      </c>
      <c r="T75" s="124" t="n">
        <v>1486.16045437125</v>
      </c>
      <c r="U75" s="124" t="n">
        <v>2003.01102233531</v>
      </c>
      <c r="V75" s="124" t="n">
        <v>2250.76486330537</v>
      </c>
      <c r="W75" s="124" t="n">
        <v>653.91059992335</v>
      </c>
      <c r="X75" s="124" t="n">
        <v>881.324849827536</v>
      </c>
      <c r="Y75" s="124" t="n">
        <v>990.336539854364</v>
      </c>
      <c r="Z75" s="124" t="n">
        <v>743.0802271856249</v>
      </c>
      <c r="AA75" s="124" t="n">
        <v>1001.50551116766</v>
      </c>
      <c r="AB75" s="124" t="n">
        <v>1125.38243165269</v>
      </c>
    </row>
    <row r="76" ht="15" customHeight="1">
      <c r="A76" s="121" t="inlineStr">
        <is>
          <t>O&amp;M and G&amp;A</t>
        </is>
      </c>
      <c r="B76" s="122" t="inlineStr">
        <is>
          <t>O&amp;M + Spares as % of EPC, T/L, S/S</t>
        </is>
      </c>
      <c r="C76" s="121" t="inlineStr">
        <is>
          <t>F38</t>
        </is>
      </c>
      <c r="D76" s="121" t="inlineStr">
        <is>
          <t>% of EPC, T/L, S/S</t>
        </is>
      </c>
      <c r="E76" s="121" t="inlineStr">
        <is>
          <t>Calculated</t>
        </is>
      </c>
      <c r="F76" s="123" t="inlineStr"/>
      <c r="G76" s="141" t="n">
        <v>0.06087983948007971</v>
      </c>
      <c r="H76" s="141" t="n">
        <v>0.05074631332083004</v>
      </c>
      <c r="I76" s="141" t="n">
        <v>0.02221699321089768</v>
      </c>
      <c r="J76" s="141" t="n">
        <v>0.0439477661902375</v>
      </c>
      <c r="K76" s="141" t="n">
        <v>0.03352484497967969</v>
      </c>
      <c r="L76" s="141" t="n">
        <v>0.02221596043811579</v>
      </c>
      <c r="M76" s="141" t="n">
        <v>0.04394452215847597</v>
      </c>
      <c r="N76" s="141" t="n">
        <v>0.03352332808634563</v>
      </c>
      <c r="O76" s="141" t="n">
        <v>0.02221618173843729</v>
      </c>
      <c r="P76" s="141" t="n">
        <v>0.04394521726774178</v>
      </c>
      <c r="Q76" s="141" t="n">
        <v>0.03352365312334513</v>
      </c>
      <c r="R76" s="141" t="n">
        <v>0.06121765290700435</v>
      </c>
      <c r="S76" s="141" t="n">
        <v>0.0612119692735261</v>
      </c>
      <c r="T76" s="141" t="n">
        <v>0.02611969958569126</v>
      </c>
      <c r="U76" s="141" t="n">
        <v>0.05855314416413949</v>
      </c>
      <c r="V76" s="141" t="n">
        <v>0.04125884001467503</v>
      </c>
      <c r="W76" s="141" t="n">
        <v>0.02611848539281885</v>
      </c>
      <c r="X76" s="141" t="n">
        <v>0.05854882202729678</v>
      </c>
      <c r="Y76" s="141" t="n">
        <v>0.04125697318249647</v>
      </c>
      <c r="Z76" s="141" t="n">
        <v>0.02611874556744557</v>
      </c>
      <c r="AA76" s="141" t="n">
        <v>0.05854974814565452</v>
      </c>
      <c r="AB76" s="141" t="n">
        <v>0.04125737320372161</v>
      </c>
    </row>
    <row r="77" ht="24" customHeight="1">
      <c r="A77" s="121" t="inlineStr">
        <is>
          <t>O&amp;M and G&amp;A</t>
        </is>
      </c>
      <c r="B77" s="122" t="inlineStr">
        <is>
          <t>Target fixed O&amp;M (US$/kW-yr) [A.4] - reference only</t>
        </is>
      </c>
      <c r="C77" s="121" t="inlineStr">
        <is>
          <t>O39</t>
        </is>
      </c>
      <c r="D77" s="121" t="inlineStr">
        <is>
          <t>US$/kW-yr</t>
        </is>
      </c>
      <c r="E77" s="121" t="inlineStr">
        <is>
          <t>Input</t>
        </is>
      </c>
      <c r="F77" s="123" t="inlineStr"/>
      <c r="G77" s="139" t="n">
        <v>18</v>
      </c>
      <c r="H77" s="139" t="n">
        <v>18</v>
      </c>
      <c r="I77" s="139" t="n">
        <v>45</v>
      </c>
      <c r="J77" s="139" t="n">
        <v>26.25</v>
      </c>
      <c r="K77" s="139" t="n">
        <v>41.25</v>
      </c>
      <c r="L77" s="139" t="n">
        <v>45</v>
      </c>
      <c r="M77" s="139" t="n">
        <v>26.25</v>
      </c>
      <c r="N77" s="139" t="n">
        <v>41.25</v>
      </c>
      <c r="O77" s="139" t="n">
        <v>45</v>
      </c>
      <c r="P77" s="139" t="n">
        <v>26.25</v>
      </c>
      <c r="Q77" s="139" t="n">
        <v>41.25</v>
      </c>
      <c r="R77" s="139" t="n">
        <v>18</v>
      </c>
      <c r="S77" s="139" t="n">
        <v>18</v>
      </c>
      <c r="T77" s="139" t="n">
        <v>45</v>
      </c>
      <c r="U77" s="139" t="n">
        <v>26.25</v>
      </c>
      <c r="V77" s="139" t="n">
        <v>41.25</v>
      </c>
      <c r="W77" s="139" t="n">
        <v>45</v>
      </c>
      <c r="X77" s="139" t="n">
        <v>26.25</v>
      </c>
      <c r="Y77" s="139" t="n">
        <v>41.25</v>
      </c>
      <c r="Z77" s="139" t="n">
        <v>45</v>
      </c>
      <c r="AA77" s="139" t="n">
        <v>26.25</v>
      </c>
      <c r="AB77" s="139" t="n">
        <v>41.25</v>
      </c>
    </row>
    <row r="78" ht="24" customHeight="1">
      <c r="A78" s="121" t="inlineStr">
        <is>
          <t>O&amp;M and G&amp;A</t>
        </is>
      </c>
      <c r="B78" s="122" t="inlineStr">
        <is>
          <t>Target variable O&amp;M (US$/MWh) [A.5] - reference only</t>
        </is>
      </c>
      <c r="C78" s="121" t="inlineStr">
        <is>
          <t>O40</t>
        </is>
      </c>
      <c r="D78" s="121" t="inlineStr">
        <is>
          <t>US$/MWh</t>
        </is>
      </c>
      <c r="E78" s="121" t="inlineStr">
        <is>
          <t>Input</t>
        </is>
      </c>
      <c r="F78" s="123" t="inlineStr"/>
      <c r="G78" s="139" t="n">
        <v>1.630789302022179</v>
      </c>
      <c r="H78" s="139" t="n">
        <v>1.630789302022179</v>
      </c>
      <c r="I78" s="139" t="n">
        <v>4.076973255055447</v>
      </c>
      <c r="J78" s="139" t="n">
        <v>2.378234398782344</v>
      </c>
      <c r="K78" s="139" t="n">
        <v>3.737225483800826</v>
      </c>
      <c r="L78" s="139" t="n">
        <v>4.076973255055448</v>
      </c>
      <c r="M78" s="139" t="n">
        <v>2.378234398782344</v>
      </c>
      <c r="N78" s="139" t="n">
        <v>3.737225483800827</v>
      </c>
      <c r="O78" s="139" t="n">
        <v>4.076973255055447</v>
      </c>
      <c r="P78" s="139" t="n">
        <v>2.378234398782344</v>
      </c>
      <c r="Q78" s="139" t="n">
        <v>3.737225483800826</v>
      </c>
      <c r="R78" s="139" t="n">
        <v>1.025339791969851</v>
      </c>
      <c r="S78" s="139" t="n">
        <v>1.025339791969851</v>
      </c>
      <c r="T78" s="139" t="n">
        <v>2.712639049151254</v>
      </c>
      <c r="U78" s="139" t="n">
        <v>1.582372778671565</v>
      </c>
      <c r="V78" s="139" t="n">
        <v>2.486585795055316</v>
      </c>
      <c r="W78" s="139" t="n">
        <v>2.712639049151254</v>
      </c>
      <c r="X78" s="139" t="n">
        <v>1.582372778671564</v>
      </c>
      <c r="Y78" s="139" t="n">
        <v>2.486585795055316</v>
      </c>
      <c r="Z78" s="139" t="n">
        <v>2.712639049151254</v>
      </c>
      <c r="AA78" s="139" t="n">
        <v>1.582372778671565</v>
      </c>
      <c r="AB78" s="139" t="n">
        <v>2.486585795055316</v>
      </c>
    </row>
    <row r="79" ht="15" customHeight="1">
      <c r="A79" s="121" t="inlineStr">
        <is>
          <t>O&amp;M and G&amp;A</t>
        </is>
      </c>
      <c r="B79" s="122" t="inlineStr">
        <is>
          <t>Target G&amp;A (US$000/yr) [A.6] - reference only</t>
        </is>
      </c>
      <c r="C79" s="121" t="inlineStr">
        <is>
          <t>O37</t>
        </is>
      </c>
      <c r="D79" s="121" t="inlineStr">
        <is>
          <t>$000/yr</t>
        </is>
      </c>
      <c r="E79" s="121" t="inlineStr">
        <is>
          <t>Input</t>
        </is>
      </c>
      <c r="F79" s="123" t="inlineStr"/>
      <c r="G79" s="124" t="n">
        <v>53.85939193065205</v>
      </c>
      <c r="H79" s="124" t="n">
        <v>53.85939193065205</v>
      </c>
      <c r="I79" s="124" t="n">
        <v>53.85939193065205</v>
      </c>
      <c r="J79" s="124" t="n">
        <v>53.85939193065205</v>
      </c>
      <c r="K79" s="124" t="n">
        <v>53.85939193065205</v>
      </c>
      <c r="L79" s="124" t="n">
        <v>53.85939193065205</v>
      </c>
      <c r="M79" s="124" t="n">
        <v>53.85939193065205</v>
      </c>
      <c r="N79" s="124" t="n">
        <v>53.85939193065205</v>
      </c>
      <c r="O79" s="124" t="n">
        <v>53.85939193065205</v>
      </c>
      <c r="P79" s="124" t="n">
        <v>53.85939193065205</v>
      </c>
      <c r="Q79" s="124" t="n">
        <v>53.85939193065205</v>
      </c>
      <c r="R79" s="124" t="n">
        <v>53.85939193065205</v>
      </c>
      <c r="S79" s="124" t="n">
        <v>53.85939193065205</v>
      </c>
      <c r="T79" s="124" t="n">
        <v>53.85939193065205</v>
      </c>
      <c r="U79" s="124" t="n">
        <v>53.85939193065205</v>
      </c>
      <c r="V79" s="124" t="n">
        <v>53.85939193065205</v>
      </c>
      <c r="W79" s="124" t="n">
        <v>53.85939193065205</v>
      </c>
      <c r="X79" s="124" t="n">
        <v>53.85939193065205</v>
      </c>
      <c r="Y79" s="124" t="n">
        <v>53.85939193065205</v>
      </c>
      <c r="Z79" s="124" t="n">
        <v>53.85939193065205</v>
      </c>
      <c r="AA79" s="124" t="n">
        <v>53.85939193065205</v>
      </c>
      <c r="AB79" s="124" t="n">
        <v>53.85939193065205</v>
      </c>
    </row>
    <row r="81">
      <c r="A81" s="119" t="inlineStr">
        <is>
          <t>6. Financing</t>
        </is>
      </c>
      <c r="B81" s="120" t="n"/>
      <c r="C81" s="120" t="n"/>
      <c r="D81" s="120" t="n"/>
      <c r="E81" s="120" t="n"/>
      <c r="F81" s="120"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c r="AA81" s="120" t="n"/>
      <c r="AB81" s="120" t="n"/>
    </row>
    <row r="82" ht="24" customHeight="1">
      <c r="A82" s="121" t="inlineStr">
        <is>
          <t>Financing</t>
        </is>
      </c>
      <c r="B82" s="122" t="inlineStr">
        <is>
          <t>Debt Ratio [A.9]</t>
        </is>
      </c>
      <c r="C82" s="121" t="inlineStr">
        <is>
          <t>J18</t>
        </is>
      </c>
      <c r="D82" s="121" t="inlineStr">
        <is>
          <t>%</t>
        </is>
      </c>
      <c r="E82" s="121" t="inlineStr">
        <is>
          <t>Input</t>
        </is>
      </c>
      <c r="F82" s="123" t="inlineStr">
        <is>
          <t>70:30 debt:equity, commercial project-finance standard (draft Resolution 2, Annex A.9).</t>
        </is>
      </c>
      <c r="G82" s="127" t="n">
        <v>0.7</v>
      </c>
      <c r="H82" s="127" t="n">
        <v>0.7</v>
      </c>
      <c r="I82" s="127" t="n">
        <v>0.7</v>
      </c>
      <c r="J82" s="127" t="n">
        <v>0.7</v>
      </c>
      <c r="K82" s="127" t="n">
        <v>0.7</v>
      </c>
      <c r="L82" s="127" t="n">
        <v>0.7</v>
      </c>
      <c r="M82" s="127" t="n">
        <v>0.7</v>
      </c>
      <c r="N82" s="127" t="n">
        <v>0.7</v>
      </c>
      <c r="O82" s="127" t="n">
        <v>0.7</v>
      </c>
      <c r="P82" s="127" t="n">
        <v>0.7</v>
      </c>
      <c r="Q82" s="127" t="n">
        <v>0.7</v>
      </c>
      <c r="R82" s="127" t="n">
        <v>0.7</v>
      </c>
      <c r="S82" s="127" t="n">
        <v>0.7</v>
      </c>
      <c r="T82" s="127" t="n">
        <v>0.7</v>
      </c>
      <c r="U82" s="127" t="n">
        <v>0.7</v>
      </c>
      <c r="V82" s="127" t="n">
        <v>0.7</v>
      </c>
      <c r="W82" s="127" t="n">
        <v>0.7</v>
      </c>
      <c r="X82" s="127" t="n">
        <v>0.7</v>
      </c>
      <c r="Y82" s="127" t="n">
        <v>0.7</v>
      </c>
      <c r="Z82" s="127" t="n">
        <v>0.7</v>
      </c>
      <c r="AA82" s="127" t="n">
        <v>0.7</v>
      </c>
      <c r="AB82" s="127" t="n">
        <v>0.7</v>
      </c>
    </row>
    <row r="83" ht="15" customHeight="1">
      <c r="A83" s="121" t="inlineStr">
        <is>
          <t>Financing</t>
        </is>
      </c>
      <c r="B83" s="122" t="inlineStr">
        <is>
          <t>Equity Ratio [A.9]</t>
        </is>
      </c>
      <c r="C83" s="121" t="inlineStr">
        <is>
          <t>J24</t>
        </is>
      </c>
      <c r="D83" s="121" t="inlineStr">
        <is>
          <t>%</t>
        </is>
      </c>
      <c r="E83" s="121" t="inlineStr">
        <is>
          <t>Calculated</t>
        </is>
      </c>
      <c r="F83" s="123" t="inlineStr"/>
      <c r="G83" s="128" t="n">
        <v>0.3</v>
      </c>
      <c r="H83" s="128" t="n">
        <v>0.3</v>
      </c>
      <c r="I83" s="128" t="n">
        <v>0.3</v>
      </c>
      <c r="J83" s="128" t="n">
        <v>0.3</v>
      </c>
      <c r="K83" s="128" t="n">
        <v>0.3</v>
      </c>
      <c r="L83" s="128" t="n">
        <v>0.3</v>
      </c>
      <c r="M83" s="128" t="n">
        <v>0.3</v>
      </c>
      <c r="N83" s="128" t="n">
        <v>0.3</v>
      </c>
      <c r="O83" s="128" t="n">
        <v>0.3</v>
      </c>
      <c r="P83" s="128" t="n">
        <v>0.3</v>
      </c>
      <c r="Q83" s="128" t="n">
        <v>0.3</v>
      </c>
      <c r="R83" s="128" t="n">
        <v>0.3</v>
      </c>
      <c r="S83" s="128" t="n">
        <v>0.3</v>
      </c>
      <c r="T83" s="128" t="n">
        <v>0.3</v>
      </c>
      <c r="U83" s="128" t="n">
        <v>0.3</v>
      </c>
      <c r="V83" s="128" t="n">
        <v>0.3</v>
      </c>
      <c r="W83" s="128" t="n">
        <v>0.3</v>
      </c>
      <c r="X83" s="128" t="n">
        <v>0.3</v>
      </c>
      <c r="Y83" s="128" t="n">
        <v>0.3</v>
      </c>
      <c r="Z83" s="128" t="n">
        <v>0.3</v>
      </c>
      <c r="AA83" s="128" t="n">
        <v>0.3</v>
      </c>
      <c r="AB83" s="128" t="n">
        <v>0.3</v>
      </c>
    </row>
    <row r="84" ht="15" customHeight="1">
      <c r="A84" s="121" t="inlineStr">
        <is>
          <t>Financing</t>
        </is>
      </c>
      <c r="B84" s="122" t="inlineStr">
        <is>
          <t>Local Capital</t>
        </is>
      </c>
      <c r="C84" s="121" t="inlineStr">
        <is>
          <t>J6</t>
        </is>
      </c>
      <c r="D84" s="121" t="inlineStr">
        <is>
          <t>%</t>
        </is>
      </c>
      <c r="E84" s="121" t="inlineStr">
        <is>
          <t>Calculated</t>
        </is>
      </c>
      <c r="F84" s="123" t="inlineStr"/>
      <c r="G84" s="128" t="n">
        <v>0.4895628596114459</v>
      </c>
      <c r="H84" s="128" t="n">
        <v>0.4907784810386232</v>
      </c>
      <c r="I84" s="128" t="n">
        <v>0.489301405072798</v>
      </c>
      <c r="J84" s="128" t="n">
        <v>0.4895759434087582</v>
      </c>
      <c r="K84" s="128" t="n">
        <v>0.4893192030608538</v>
      </c>
      <c r="L84" s="128" t="n">
        <v>0.4898281691724303</v>
      </c>
      <c r="M84" s="128" t="n">
        <v>0.4904521150256014</v>
      </c>
      <c r="N84" s="128" t="n">
        <v>0.4898686218055564</v>
      </c>
      <c r="O84" s="128" t="n">
        <v>0.4897152917055201</v>
      </c>
      <c r="P84" s="128" t="n">
        <v>0.4902643649822608</v>
      </c>
      <c r="Q84" s="128" t="n">
        <v>0.4897508895210251</v>
      </c>
      <c r="R84" s="128" t="n">
        <v>0.4895628596114459</v>
      </c>
      <c r="S84" s="128" t="n">
        <v>0.4907784810386232</v>
      </c>
      <c r="T84" s="128" t="n">
        <v>0.489301405072798</v>
      </c>
      <c r="U84" s="128" t="n">
        <v>0.4895759434087582</v>
      </c>
      <c r="V84" s="128" t="n">
        <v>0.4893192030608538</v>
      </c>
      <c r="W84" s="128" t="n">
        <v>0.4898281691724303</v>
      </c>
      <c r="X84" s="128" t="n">
        <v>0.4904521150256014</v>
      </c>
      <c r="Y84" s="128" t="n">
        <v>0.4898686218055564</v>
      </c>
      <c r="Z84" s="128" t="n">
        <v>0.4897152917055201</v>
      </c>
      <c r="AA84" s="128" t="n">
        <v>0.4902643649822608</v>
      </c>
      <c r="AB84" s="128" t="n">
        <v>0.4897508895210251</v>
      </c>
    </row>
    <row r="85" ht="15" customHeight="1">
      <c r="A85" s="121" t="inlineStr">
        <is>
          <t>Financing</t>
        </is>
      </c>
      <c r="B85" s="122" t="inlineStr">
        <is>
          <t>Foreign Capital</t>
        </is>
      </c>
      <c r="C85" s="121" t="inlineStr">
        <is>
          <t>J7</t>
        </is>
      </c>
      <c r="D85" s="121" t="inlineStr">
        <is>
          <t>%</t>
        </is>
      </c>
      <c r="E85" s="121" t="inlineStr">
        <is>
          <t>Calculated</t>
        </is>
      </c>
      <c r="F85" s="123" t="inlineStr"/>
      <c r="G85" s="128" t="n">
        <v>0.5104371403885539</v>
      </c>
      <c r="H85" s="128" t="n">
        <v>0.5092215189613769</v>
      </c>
      <c r="I85" s="128" t="n">
        <v>0.5106985949272019</v>
      </c>
      <c r="J85" s="128" t="n">
        <v>0.510424056591242</v>
      </c>
      <c r="K85" s="128" t="n">
        <v>0.5106807969391461</v>
      </c>
      <c r="L85" s="128" t="n">
        <v>0.5101718308275697</v>
      </c>
      <c r="M85" s="128" t="n">
        <v>0.5095478849743985</v>
      </c>
      <c r="N85" s="128" t="n">
        <v>0.5101313781944437</v>
      </c>
      <c r="O85" s="128" t="n">
        <v>0.5102847082944798</v>
      </c>
      <c r="P85" s="128" t="n">
        <v>0.5097356350177393</v>
      </c>
      <c r="Q85" s="128" t="n">
        <v>0.510249110478975</v>
      </c>
      <c r="R85" s="128" t="n">
        <v>0.5104371403885539</v>
      </c>
      <c r="S85" s="128" t="n">
        <v>0.5092215189613769</v>
      </c>
      <c r="T85" s="128" t="n">
        <v>0.5106985949272019</v>
      </c>
      <c r="U85" s="128" t="n">
        <v>0.510424056591242</v>
      </c>
      <c r="V85" s="128" t="n">
        <v>0.5106807969391461</v>
      </c>
      <c r="W85" s="128" t="n">
        <v>0.5101718308275697</v>
      </c>
      <c r="X85" s="128" t="n">
        <v>0.5095478849743985</v>
      </c>
      <c r="Y85" s="128" t="n">
        <v>0.5101313781944437</v>
      </c>
      <c r="Z85" s="128" t="n">
        <v>0.5102847082944798</v>
      </c>
      <c r="AA85" s="128" t="n">
        <v>0.5097356350177393</v>
      </c>
      <c r="AB85" s="128" t="n">
        <v>0.510249110478975</v>
      </c>
    </row>
    <row r="86" ht="24" customHeight="1">
      <c r="A86" s="121" t="inlineStr">
        <is>
          <t>Financing</t>
        </is>
      </c>
      <c r="B86" s="122" t="inlineStr">
        <is>
          <t>Cost of Debt, local (% excl. tax) [A.10]</t>
        </is>
      </c>
      <c r="C86" s="121" t="inlineStr">
        <is>
          <t>J12</t>
        </is>
      </c>
      <c r="D86" s="121" t="inlineStr">
        <is>
          <t>% p.a.</t>
        </is>
      </c>
      <c r="E86" s="121" t="inlineStr">
        <is>
          <t>Input</t>
        </is>
      </c>
      <c r="F86" s="123" t="inlineStr">
        <is>
          <t>8% pre-tax (draft Resolution 2, A.10; local ~7.5%, USD ~8.5%).</t>
        </is>
      </c>
      <c r="G86" s="129" t="n">
        <v>0.08</v>
      </c>
      <c r="H86" s="129" t="n">
        <v>0.08</v>
      </c>
      <c r="I86" s="129" t="n">
        <v>0.08</v>
      </c>
      <c r="J86" s="129" t="n">
        <v>0.08</v>
      </c>
      <c r="K86" s="129" t="n">
        <v>0.08</v>
      </c>
      <c r="L86" s="129" t="n">
        <v>0.08</v>
      </c>
      <c r="M86" s="129" t="n">
        <v>0.08</v>
      </c>
      <c r="N86" s="129" t="n">
        <v>0.08</v>
      </c>
      <c r="O86" s="129" t="n">
        <v>0.08</v>
      </c>
      <c r="P86" s="129" t="n">
        <v>0.08</v>
      </c>
      <c r="Q86" s="129" t="n">
        <v>0.08</v>
      </c>
      <c r="R86" s="129" t="n">
        <v>0.08</v>
      </c>
      <c r="S86" s="129" t="n">
        <v>0.08</v>
      </c>
      <c r="T86" s="129" t="n">
        <v>0.08</v>
      </c>
      <c r="U86" s="129" t="n">
        <v>0.08</v>
      </c>
      <c r="V86" s="129" t="n">
        <v>0.08</v>
      </c>
      <c r="W86" s="129" t="n">
        <v>0.08</v>
      </c>
      <c r="X86" s="129" t="n">
        <v>0.08</v>
      </c>
      <c r="Y86" s="129" t="n">
        <v>0.08</v>
      </c>
      <c r="Z86" s="129" t="n">
        <v>0.08</v>
      </c>
      <c r="AA86" s="129" t="n">
        <v>0.08</v>
      </c>
      <c r="AB86" s="129" t="n">
        <v>0.08</v>
      </c>
    </row>
    <row r="87" ht="15" customHeight="1">
      <c r="A87" s="121" t="inlineStr">
        <is>
          <t>Financing</t>
        </is>
      </c>
      <c r="B87" s="122" t="inlineStr">
        <is>
          <t>Cost of Debt, foreign (% excl. tax) [A.10]</t>
        </is>
      </c>
      <c r="C87" s="121" t="inlineStr">
        <is>
          <t>J14</t>
        </is>
      </c>
      <c r="D87" s="121" t="inlineStr">
        <is>
          <t>% p.a.</t>
        </is>
      </c>
      <c r="E87" s="121" t="inlineStr">
        <is>
          <t>Input</t>
        </is>
      </c>
      <c r="F87" s="123" t="inlineStr"/>
      <c r="G87" s="129" t="n">
        <v>0.08</v>
      </c>
      <c r="H87" s="129" t="n">
        <v>0.08</v>
      </c>
      <c r="I87" s="129" t="n">
        <v>0.08</v>
      </c>
      <c r="J87" s="129" t="n">
        <v>0.08</v>
      </c>
      <c r="K87" s="129" t="n">
        <v>0.08</v>
      </c>
      <c r="L87" s="129" t="n">
        <v>0.08</v>
      </c>
      <c r="M87" s="129" t="n">
        <v>0.08</v>
      </c>
      <c r="N87" s="129" t="n">
        <v>0.08</v>
      </c>
      <c r="O87" s="129" t="n">
        <v>0.08</v>
      </c>
      <c r="P87" s="129" t="n">
        <v>0.08</v>
      </c>
      <c r="Q87" s="129" t="n">
        <v>0.08</v>
      </c>
      <c r="R87" s="129" t="n">
        <v>0.08</v>
      </c>
      <c r="S87" s="129" t="n">
        <v>0.08</v>
      </c>
      <c r="T87" s="129" t="n">
        <v>0.08</v>
      </c>
      <c r="U87" s="129" t="n">
        <v>0.08</v>
      </c>
      <c r="V87" s="129" t="n">
        <v>0.08</v>
      </c>
      <c r="W87" s="129" t="n">
        <v>0.08</v>
      </c>
      <c r="X87" s="129" t="n">
        <v>0.08</v>
      </c>
      <c r="Y87" s="129" t="n">
        <v>0.08</v>
      </c>
      <c r="Z87" s="129" t="n">
        <v>0.08</v>
      </c>
      <c r="AA87" s="129" t="n">
        <v>0.08</v>
      </c>
      <c r="AB87" s="129" t="n">
        <v>0.08</v>
      </c>
    </row>
    <row r="88" ht="15" customHeight="1">
      <c r="A88" s="121" t="inlineStr">
        <is>
          <t>Financing</t>
        </is>
      </c>
      <c r="B88" s="122" t="inlineStr">
        <is>
          <t>Local Debt Repayment Period (yrs) [A.11]</t>
        </is>
      </c>
      <c r="C88" s="121" t="inlineStr">
        <is>
          <t>J13</t>
        </is>
      </c>
      <c r="D88" s="121" t="inlineStr">
        <is>
          <t>years</t>
        </is>
      </c>
      <c r="E88" s="121" t="inlineStr">
        <is>
          <t>Input</t>
        </is>
      </c>
      <c r="F88" s="123" t="inlineStr">
        <is>
          <t>15 years (draft Resolution 2, A.11).</t>
        </is>
      </c>
      <c r="G88" s="125" t="n">
        <v>15</v>
      </c>
      <c r="H88" s="125" t="n">
        <v>15</v>
      </c>
      <c r="I88" s="125" t="n">
        <v>15</v>
      </c>
      <c r="J88" s="125" t="n">
        <v>15</v>
      </c>
      <c r="K88" s="125" t="n">
        <v>15</v>
      </c>
      <c r="L88" s="125" t="n">
        <v>15</v>
      </c>
      <c r="M88" s="125" t="n">
        <v>15</v>
      </c>
      <c r="N88" s="125" t="n">
        <v>15</v>
      </c>
      <c r="O88" s="125" t="n">
        <v>15</v>
      </c>
      <c r="P88" s="125" t="n">
        <v>15</v>
      </c>
      <c r="Q88" s="125" t="n">
        <v>15</v>
      </c>
      <c r="R88" s="125" t="n">
        <v>15</v>
      </c>
      <c r="S88" s="125" t="n">
        <v>15</v>
      </c>
      <c r="T88" s="125" t="n">
        <v>15</v>
      </c>
      <c r="U88" s="125" t="n">
        <v>15</v>
      </c>
      <c r="V88" s="125" t="n">
        <v>15</v>
      </c>
      <c r="W88" s="125" t="n">
        <v>15</v>
      </c>
      <c r="X88" s="125" t="n">
        <v>15</v>
      </c>
      <c r="Y88" s="125" t="n">
        <v>15</v>
      </c>
      <c r="Z88" s="125" t="n">
        <v>15</v>
      </c>
      <c r="AA88" s="125" t="n">
        <v>15</v>
      </c>
      <c r="AB88" s="125" t="n">
        <v>15</v>
      </c>
    </row>
    <row r="89" ht="15" customHeight="1">
      <c r="A89" s="121" t="inlineStr">
        <is>
          <t>Financing</t>
        </is>
      </c>
      <c r="B89" s="122" t="inlineStr">
        <is>
          <t>Foreign Debt Repayment Period (yrs) [A.11]</t>
        </is>
      </c>
      <c r="C89" s="121" t="inlineStr">
        <is>
          <t>J15</t>
        </is>
      </c>
      <c r="D89" s="121" t="inlineStr">
        <is>
          <t>years</t>
        </is>
      </c>
      <c r="E89" s="121" t="inlineStr">
        <is>
          <t>Input</t>
        </is>
      </c>
      <c r="F89" s="123" t="inlineStr"/>
      <c r="G89" s="125" t="n">
        <v>15</v>
      </c>
      <c r="H89" s="125" t="n">
        <v>15</v>
      </c>
      <c r="I89" s="125" t="n">
        <v>15</v>
      </c>
      <c r="J89" s="125" t="n">
        <v>15</v>
      </c>
      <c r="K89" s="125" t="n">
        <v>15</v>
      </c>
      <c r="L89" s="125" t="n">
        <v>15</v>
      </c>
      <c r="M89" s="125" t="n">
        <v>15</v>
      </c>
      <c r="N89" s="125" t="n">
        <v>15</v>
      </c>
      <c r="O89" s="125" t="n">
        <v>15</v>
      </c>
      <c r="P89" s="125" t="n">
        <v>15</v>
      </c>
      <c r="Q89" s="125" t="n">
        <v>15</v>
      </c>
      <c r="R89" s="125" t="n">
        <v>15</v>
      </c>
      <c r="S89" s="125" t="n">
        <v>15</v>
      </c>
      <c r="T89" s="125" t="n">
        <v>15</v>
      </c>
      <c r="U89" s="125" t="n">
        <v>15</v>
      </c>
      <c r="V89" s="125" t="n">
        <v>15</v>
      </c>
      <c r="W89" s="125" t="n">
        <v>15</v>
      </c>
      <c r="X89" s="125" t="n">
        <v>15</v>
      </c>
      <c r="Y89" s="125" t="n">
        <v>15</v>
      </c>
      <c r="Z89" s="125" t="n">
        <v>15</v>
      </c>
      <c r="AA89" s="125" t="n">
        <v>15</v>
      </c>
      <c r="AB89" s="125" t="n">
        <v>15</v>
      </c>
    </row>
    <row r="90" ht="24" customHeight="1">
      <c r="A90" s="121" t="inlineStr">
        <is>
          <t>Financing</t>
        </is>
      </c>
      <c r="B90" s="122" t="inlineStr">
        <is>
          <t>Debt Grace Period from COD (mos) [A.25]</t>
        </is>
      </c>
      <c r="C90" s="121" t="inlineStr">
        <is>
          <t>J16</t>
        </is>
      </c>
      <c r="D90" s="121" t="inlineStr">
        <is>
          <t>months</t>
        </is>
      </c>
      <c r="E90" s="121" t="inlineStr">
        <is>
          <t>Input</t>
        </is>
      </c>
      <c r="F90" s="123" t="inlineStr">
        <is>
          <t>naruto / ERC Mid-Merit Financial Model default (ADV model reviewed 9 Oct 2026); unchanged across cases. (A.25).</t>
        </is>
      </c>
      <c r="G90" s="125" t="n">
        <v>6</v>
      </c>
      <c r="H90" s="125" t="n">
        <v>6</v>
      </c>
      <c r="I90" s="125" t="n">
        <v>6</v>
      </c>
      <c r="J90" s="125" t="n">
        <v>6</v>
      </c>
      <c r="K90" s="125" t="n">
        <v>6</v>
      </c>
      <c r="L90" s="125" t="n">
        <v>6</v>
      </c>
      <c r="M90" s="125" t="n">
        <v>6</v>
      </c>
      <c r="N90" s="125" t="n">
        <v>6</v>
      </c>
      <c r="O90" s="125" t="n">
        <v>6</v>
      </c>
      <c r="P90" s="125" t="n">
        <v>6</v>
      </c>
      <c r="Q90" s="125" t="n">
        <v>6</v>
      </c>
      <c r="R90" s="125" t="n">
        <v>6</v>
      </c>
      <c r="S90" s="125" t="n">
        <v>6</v>
      </c>
      <c r="T90" s="125" t="n">
        <v>6</v>
      </c>
      <c r="U90" s="125" t="n">
        <v>6</v>
      </c>
      <c r="V90" s="125" t="n">
        <v>6</v>
      </c>
      <c r="W90" s="125" t="n">
        <v>6</v>
      </c>
      <c r="X90" s="125" t="n">
        <v>6</v>
      </c>
      <c r="Y90" s="125" t="n">
        <v>6</v>
      </c>
      <c r="Z90" s="125" t="n">
        <v>6</v>
      </c>
      <c r="AA90" s="125" t="n">
        <v>6</v>
      </c>
      <c r="AB90" s="125" t="n">
        <v>6</v>
      </c>
    </row>
    <row r="91" ht="24" customHeight="1">
      <c r="A91" s="121" t="inlineStr">
        <is>
          <t>Financing</t>
        </is>
      </c>
      <c r="B91" s="122" t="inlineStr">
        <is>
          <t>Local and Foreign debt Service Reserve (mos)</t>
        </is>
      </c>
      <c r="C91" s="121" t="inlineStr">
        <is>
          <t>J17</t>
        </is>
      </c>
      <c r="D91" s="121" t="inlineStr">
        <is>
          <t>months</t>
        </is>
      </c>
      <c r="E91" s="121" t="inlineStr">
        <is>
          <t>Input</t>
        </is>
      </c>
      <c r="F91" s="123" t="inlineStr">
        <is>
          <t>naruto / ERC Mid-Merit Financial Model default (ADV model reviewed 9 Oct 2026); unchanged across cases.</t>
        </is>
      </c>
      <c r="G91" s="125" t="n">
        <v>6</v>
      </c>
      <c r="H91" s="125" t="n">
        <v>6</v>
      </c>
      <c r="I91" s="125" t="n">
        <v>6</v>
      </c>
      <c r="J91" s="125" t="n">
        <v>6</v>
      </c>
      <c r="K91" s="125" t="n">
        <v>6</v>
      </c>
      <c r="L91" s="125" t="n">
        <v>6</v>
      </c>
      <c r="M91" s="125" t="n">
        <v>6</v>
      </c>
      <c r="N91" s="125" t="n">
        <v>6</v>
      </c>
      <c r="O91" s="125" t="n">
        <v>6</v>
      </c>
      <c r="P91" s="125" t="n">
        <v>6</v>
      </c>
      <c r="Q91" s="125" t="n">
        <v>6</v>
      </c>
      <c r="R91" s="125" t="n">
        <v>6</v>
      </c>
      <c r="S91" s="125" t="n">
        <v>6</v>
      </c>
      <c r="T91" s="125" t="n">
        <v>6</v>
      </c>
      <c r="U91" s="125" t="n">
        <v>6</v>
      </c>
      <c r="V91" s="125" t="n">
        <v>6</v>
      </c>
      <c r="W91" s="125" t="n">
        <v>6</v>
      </c>
      <c r="X91" s="125" t="n">
        <v>6</v>
      </c>
      <c r="Y91" s="125" t="n">
        <v>6</v>
      </c>
      <c r="Z91" s="125" t="n">
        <v>6</v>
      </c>
      <c r="AA91" s="125" t="n">
        <v>6</v>
      </c>
      <c r="AB91" s="125" t="n">
        <v>6</v>
      </c>
    </row>
    <row r="92" ht="24" customHeight="1">
      <c r="A92" s="121" t="inlineStr">
        <is>
          <t>Financing</t>
        </is>
      </c>
      <c r="B92" s="122" t="inlineStr">
        <is>
          <t>Local &amp; Foreign Upfront &amp; Financing Fees</t>
        </is>
      </c>
      <c r="C92" s="121" t="inlineStr">
        <is>
          <t>J10</t>
        </is>
      </c>
      <c r="D92" s="121" t="inlineStr">
        <is>
          <t>%</t>
        </is>
      </c>
      <c r="E92" s="121" t="inlineStr">
        <is>
          <t>Input</t>
        </is>
      </c>
      <c r="F92" s="123" t="inlineStr">
        <is>
          <t>naruto / ERC Mid-Merit Financial Model default (ADV model reviewed 9 Oct 2026); unchanged across cases.</t>
        </is>
      </c>
      <c r="G92" s="129" t="n">
        <v>0.02</v>
      </c>
      <c r="H92" s="129" t="n">
        <v>0.02</v>
      </c>
      <c r="I92" s="129" t="n">
        <v>0.02</v>
      </c>
      <c r="J92" s="129" t="n">
        <v>0.02</v>
      </c>
      <c r="K92" s="129" t="n">
        <v>0.02</v>
      </c>
      <c r="L92" s="129" t="n">
        <v>0.02</v>
      </c>
      <c r="M92" s="129" t="n">
        <v>0.02</v>
      </c>
      <c r="N92" s="129" t="n">
        <v>0.02</v>
      </c>
      <c r="O92" s="129" t="n">
        <v>0.02</v>
      </c>
      <c r="P92" s="129" t="n">
        <v>0.02</v>
      </c>
      <c r="Q92" s="129" t="n">
        <v>0.02</v>
      </c>
      <c r="R92" s="129" t="n">
        <v>0.02</v>
      </c>
      <c r="S92" s="129" t="n">
        <v>0.02</v>
      </c>
      <c r="T92" s="129" t="n">
        <v>0.02</v>
      </c>
      <c r="U92" s="129" t="n">
        <v>0.02</v>
      </c>
      <c r="V92" s="129" t="n">
        <v>0.02</v>
      </c>
      <c r="W92" s="129" t="n">
        <v>0.02</v>
      </c>
      <c r="X92" s="129" t="n">
        <v>0.02</v>
      </c>
      <c r="Y92" s="129" t="n">
        <v>0.02</v>
      </c>
      <c r="Z92" s="129" t="n">
        <v>0.02</v>
      </c>
      <c r="AA92" s="129" t="n">
        <v>0.02</v>
      </c>
      <c r="AB92" s="129" t="n">
        <v>0.02</v>
      </c>
    </row>
    <row r="93" ht="24" customHeight="1">
      <c r="A93" s="121" t="inlineStr">
        <is>
          <t>Financing</t>
        </is>
      </c>
      <c r="B93" s="122" t="inlineStr">
        <is>
          <t>Local &amp; Foreign Commitment Fees</t>
        </is>
      </c>
      <c r="C93" s="121" t="inlineStr">
        <is>
          <t>J11</t>
        </is>
      </c>
      <c r="D93" s="121" t="inlineStr">
        <is>
          <t>%</t>
        </is>
      </c>
      <c r="E93" s="121" t="inlineStr">
        <is>
          <t>Input</t>
        </is>
      </c>
      <c r="F93" s="123" t="inlineStr">
        <is>
          <t>naruto / ERC Mid-Merit Financial Model default (ADV model reviewed 9 Oct 2026); unchanged across cases.</t>
        </is>
      </c>
      <c r="G93" s="129" t="n">
        <v>0.005</v>
      </c>
      <c r="H93" s="129" t="n">
        <v>0.005</v>
      </c>
      <c r="I93" s="129" t="n">
        <v>0.005</v>
      </c>
      <c r="J93" s="129" t="n">
        <v>0.005</v>
      </c>
      <c r="K93" s="129" t="n">
        <v>0.005</v>
      </c>
      <c r="L93" s="129" t="n">
        <v>0.005</v>
      </c>
      <c r="M93" s="129" t="n">
        <v>0.005</v>
      </c>
      <c r="N93" s="129" t="n">
        <v>0.005</v>
      </c>
      <c r="O93" s="129" t="n">
        <v>0.005</v>
      </c>
      <c r="P93" s="129" t="n">
        <v>0.005</v>
      </c>
      <c r="Q93" s="129" t="n">
        <v>0.005</v>
      </c>
      <c r="R93" s="129" t="n">
        <v>0.005</v>
      </c>
      <c r="S93" s="129" t="n">
        <v>0.005</v>
      </c>
      <c r="T93" s="129" t="n">
        <v>0.005</v>
      </c>
      <c r="U93" s="129" t="n">
        <v>0.005</v>
      </c>
      <c r="V93" s="129" t="n">
        <v>0.005</v>
      </c>
      <c r="W93" s="129" t="n">
        <v>0.005</v>
      </c>
      <c r="X93" s="129" t="n">
        <v>0.005</v>
      </c>
      <c r="Y93" s="129" t="n">
        <v>0.005</v>
      </c>
      <c r="Z93" s="129" t="n">
        <v>0.005</v>
      </c>
      <c r="AA93" s="129" t="n">
        <v>0.005</v>
      </c>
      <c r="AB93" s="129" t="n">
        <v>0.005</v>
      </c>
    </row>
    <row r="94" ht="15" customHeight="1">
      <c r="A94" s="121" t="inlineStr">
        <is>
          <t>Financing</t>
        </is>
      </c>
      <c r="B94" s="122" t="inlineStr">
        <is>
          <t>Total Local Debt ($000)      - 48.9 %</t>
        </is>
      </c>
      <c r="C94" s="121" t="inlineStr">
        <is>
          <t>J19</t>
        </is>
      </c>
      <c r="D94" s="121" t="inlineStr">
        <is>
          <t>$000</t>
        </is>
      </c>
      <c r="E94" s="121" t="inlineStr">
        <is>
          <t>Calculated</t>
        </is>
      </c>
      <c r="F94" s="123" t="inlineStr"/>
      <c r="G94" s="126" t="n">
        <v>159232.8020736146</v>
      </c>
      <c r="H94" s="126" t="n">
        <v>57233.54431158697</v>
      </c>
      <c r="I94" s="126" t="n">
        <v>283952.1076094415</v>
      </c>
      <c r="J94" s="126" t="n">
        <v>165878.9504827817</v>
      </c>
      <c r="K94" s="126" t="n">
        <v>260313.9042087232</v>
      </c>
      <c r="L94" s="126" t="n">
        <v>125286.5916543615</v>
      </c>
      <c r="M94" s="126" t="n">
        <v>73324.0642851264</v>
      </c>
      <c r="N94" s="126" t="n">
        <v>114870.5161924741</v>
      </c>
      <c r="O94" s="126" t="n">
        <v>142286.4687796304</v>
      </c>
      <c r="P94" s="126" t="n">
        <v>83240.65967997638</v>
      </c>
      <c r="Q94" s="126" t="n">
        <v>130453.7365458037</v>
      </c>
      <c r="R94" s="126" t="n">
        <v>159232.8020736146</v>
      </c>
      <c r="S94" s="126" t="n">
        <v>57233.54431158697</v>
      </c>
      <c r="T94" s="126" t="n">
        <v>283952.1076094415</v>
      </c>
      <c r="U94" s="126" t="n">
        <v>165878.9504827817</v>
      </c>
      <c r="V94" s="126" t="n">
        <v>260313.9042087232</v>
      </c>
      <c r="W94" s="126" t="n">
        <v>125286.5916543615</v>
      </c>
      <c r="X94" s="126" t="n">
        <v>73324.0642851264</v>
      </c>
      <c r="Y94" s="126" t="n">
        <v>114870.5161924741</v>
      </c>
      <c r="Z94" s="126" t="n">
        <v>142286.4687796304</v>
      </c>
      <c r="AA94" s="126" t="n">
        <v>83240.65967997638</v>
      </c>
      <c r="AB94" s="126" t="n">
        <v>130453.7365458037</v>
      </c>
    </row>
    <row r="95" ht="15" customHeight="1">
      <c r="A95" s="121" t="inlineStr">
        <is>
          <t>Financing</t>
        </is>
      </c>
      <c r="B95" s="122" t="inlineStr">
        <is>
          <t>Total Foreign Debt ($000)   - 51.1 %</t>
        </is>
      </c>
      <c r="C95" s="121" t="inlineStr">
        <is>
          <t>J20</t>
        </is>
      </c>
      <c r="D95" s="121" t="inlineStr">
        <is>
          <t>$000</t>
        </is>
      </c>
      <c r="E95" s="121" t="inlineStr">
        <is>
          <t>Calculated</t>
        </is>
      </c>
      <c r="F95" s="123" t="inlineStr"/>
      <c r="G95" s="126" t="n">
        <v>428767.1979263856</v>
      </c>
      <c r="H95" s="126" t="n">
        <v>152766.455688413</v>
      </c>
      <c r="I95" s="126" t="n">
        <v>766047.892391463</v>
      </c>
      <c r="J95" s="126" t="n">
        <v>446621.0495176552</v>
      </c>
      <c r="K95" s="126" t="n">
        <v>702186.0957914591</v>
      </c>
      <c r="L95" s="126" t="n">
        <v>336713.4083476944</v>
      </c>
      <c r="M95" s="126" t="n">
        <v>196175.9357158656</v>
      </c>
      <c r="N95" s="126" t="n">
        <v>308629.4838079407</v>
      </c>
      <c r="O95" s="126" t="n">
        <v>382713.5312221787</v>
      </c>
      <c r="P95" s="126" t="n">
        <v>223009.3403208967</v>
      </c>
      <c r="Q95" s="126" t="n">
        <v>350796.2634545615</v>
      </c>
      <c r="R95" s="126" t="n">
        <v>428767.1979263856</v>
      </c>
      <c r="S95" s="126" t="n">
        <v>152766.455688413</v>
      </c>
      <c r="T95" s="126" t="n">
        <v>766047.892391463</v>
      </c>
      <c r="U95" s="126" t="n">
        <v>446621.0495176552</v>
      </c>
      <c r="V95" s="126" t="n">
        <v>702186.0957914591</v>
      </c>
      <c r="W95" s="126" t="n">
        <v>336713.4083476944</v>
      </c>
      <c r="X95" s="126" t="n">
        <v>196175.9357158656</v>
      </c>
      <c r="Y95" s="126" t="n">
        <v>308629.4838079407</v>
      </c>
      <c r="Z95" s="126" t="n">
        <v>382713.5312221787</v>
      </c>
      <c r="AA95" s="126" t="n">
        <v>223009.3403208967</v>
      </c>
      <c r="AB95" s="126" t="n">
        <v>350796.2634545615</v>
      </c>
    </row>
    <row r="96" ht="15" customHeight="1">
      <c r="A96" s="121" t="inlineStr">
        <is>
          <t>Financing</t>
        </is>
      </c>
      <c r="B96" s="122" t="inlineStr">
        <is>
          <t>Total Debt Amount ($000) - 100 %</t>
        </is>
      </c>
      <c r="C96" s="121" t="inlineStr">
        <is>
          <t>J21</t>
        </is>
      </c>
      <c r="D96" s="121" t="inlineStr">
        <is>
          <t>$000</t>
        </is>
      </c>
      <c r="E96" s="121" t="inlineStr">
        <is>
          <t>Calculated</t>
        </is>
      </c>
      <c r="F96" s="123" t="inlineStr"/>
      <c r="G96" s="126" t="n">
        <v>588000.0000000002</v>
      </c>
      <c r="H96" s="126" t="n">
        <v>210000</v>
      </c>
      <c r="I96" s="126" t="n">
        <v>1050000.000000905</v>
      </c>
      <c r="J96" s="126" t="n">
        <v>612500.0000004369</v>
      </c>
      <c r="K96" s="126" t="n">
        <v>962500.0000001823</v>
      </c>
      <c r="L96" s="126" t="n">
        <v>462000.0000020558</v>
      </c>
      <c r="M96" s="126" t="n">
        <v>269500.000000992</v>
      </c>
      <c r="N96" s="126" t="n">
        <v>423500.0000004148</v>
      </c>
      <c r="O96" s="126" t="n">
        <v>525000.0000018091</v>
      </c>
      <c r="P96" s="126" t="n">
        <v>306250.0000008731</v>
      </c>
      <c r="Q96" s="126" t="n">
        <v>481250.0000003652</v>
      </c>
      <c r="R96" s="126" t="n">
        <v>588000.0000000002</v>
      </c>
      <c r="S96" s="126" t="n">
        <v>210000</v>
      </c>
      <c r="T96" s="126" t="n">
        <v>1050000.000000905</v>
      </c>
      <c r="U96" s="126" t="n">
        <v>612500.0000004369</v>
      </c>
      <c r="V96" s="126" t="n">
        <v>962500.0000001823</v>
      </c>
      <c r="W96" s="126" t="n">
        <v>462000.0000020558</v>
      </c>
      <c r="X96" s="126" t="n">
        <v>269500.000000992</v>
      </c>
      <c r="Y96" s="126" t="n">
        <v>423500.0000004148</v>
      </c>
      <c r="Z96" s="126" t="n">
        <v>525000.0000018091</v>
      </c>
      <c r="AA96" s="126" t="n">
        <v>306250.0000008731</v>
      </c>
      <c r="AB96" s="126" t="n">
        <v>481250.0000003652</v>
      </c>
    </row>
    <row r="97" ht="15" customHeight="1">
      <c r="A97" s="121" t="inlineStr">
        <is>
          <t>Financing</t>
        </is>
      </c>
      <c r="B97" s="122" t="inlineStr">
        <is>
          <t>Equity Investment</t>
        </is>
      </c>
      <c r="C97" s="121" t="inlineStr">
        <is>
          <t>J25</t>
        </is>
      </c>
      <c r="D97" s="121" t="inlineStr">
        <is>
          <t>$000</t>
        </is>
      </c>
      <c r="E97" s="121" t="inlineStr">
        <is>
          <t>Calculated</t>
        </is>
      </c>
      <c r="F97" s="123" t="inlineStr"/>
      <c r="G97" s="126" t="n">
        <v>252000.0000000002</v>
      </c>
      <c r="H97" s="126" t="n">
        <v>90000</v>
      </c>
      <c r="I97" s="126" t="n">
        <v>450000.0000003878</v>
      </c>
      <c r="J97" s="126" t="n">
        <v>262500.0000001873</v>
      </c>
      <c r="K97" s="126" t="n">
        <v>412500.0000000783</v>
      </c>
      <c r="L97" s="126" t="n">
        <v>198000.0000008811</v>
      </c>
      <c r="M97" s="126" t="n">
        <v>115500.0000004251</v>
      </c>
      <c r="N97" s="126" t="n">
        <v>181500.0000001778</v>
      </c>
      <c r="O97" s="126" t="n">
        <v>225000.0000007753</v>
      </c>
      <c r="P97" s="126" t="n">
        <v>131250.0000003742</v>
      </c>
      <c r="Q97" s="126" t="n">
        <v>206250.0000001566</v>
      </c>
      <c r="R97" s="126" t="n">
        <v>252000.0000000002</v>
      </c>
      <c r="S97" s="126" t="n">
        <v>90000</v>
      </c>
      <c r="T97" s="126" t="n">
        <v>450000.0000003878</v>
      </c>
      <c r="U97" s="126" t="n">
        <v>262500.0000001873</v>
      </c>
      <c r="V97" s="126" t="n">
        <v>412500.0000000783</v>
      </c>
      <c r="W97" s="126" t="n">
        <v>198000.0000008811</v>
      </c>
      <c r="X97" s="126" t="n">
        <v>115500.0000004251</v>
      </c>
      <c r="Y97" s="126" t="n">
        <v>181500.0000001778</v>
      </c>
      <c r="Z97" s="126" t="n">
        <v>225000.0000007753</v>
      </c>
      <c r="AA97" s="126" t="n">
        <v>131250.0000003742</v>
      </c>
      <c r="AB97" s="126" t="n">
        <v>206250.0000001566</v>
      </c>
    </row>
    <row r="98" ht="15" customHeight="1">
      <c r="A98" s="121" t="inlineStr">
        <is>
          <t>Financing</t>
        </is>
      </c>
      <c r="B98" s="122" t="inlineStr">
        <is>
          <t>Required Equity Return, Re (nominal) [A.12]</t>
        </is>
      </c>
      <c r="C98" s="121" t="inlineStr">
        <is>
          <t>J23</t>
        </is>
      </c>
      <c r="D98" s="121" t="inlineStr">
        <is>
          <t>% p.a.</t>
        </is>
      </c>
      <c r="E98" s="121" t="inlineStr">
        <is>
          <t>Input</t>
        </is>
      </c>
      <c r="F98" s="123" t="inlineStr">
        <is>
          <t>14% nominal (draft Resolution 2, A.12; CAPM range 12%–14%).</t>
        </is>
      </c>
      <c r="G98" s="127" t="n">
        <v>0.14</v>
      </c>
      <c r="H98" s="127" t="n">
        <v>0.14</v>
      </c>
      <c r="I98" s="127" t="n">
        <v>0.14</v>
      </c>
      <c r="J98" s="127" t="n">
        <v>0.14</v>
      </c>
      <c r="K98" s="127" t="n">
        <v>0.14</v>
      </c>
      <c r="L98" s="127" t="n">
        <v>0.14</v>
      </c>
      <c r="M98" s="127" t="n">
        <v>0.14</v>
      </c>
      <c r="N98" s="127" t="n">
        <v>0.14</v>
      </c>
      <c r="O98" s="127" t="n">
        <v>0.14</v>
      </c>
      <c r="P98" s="127" t="n">
        <v>0.14</v>
      </c>
      <c r="Q98" s="127" t="n">
        <v>0.14</v>
      </c>
      <c r="R98" s="127" t="n">
        <v>0.14</v>
      </c>
      <c r="S98" s="127" t="n">
        <v>0.14</v>
      </c>
      <c r="T98" s="127" t="n">
        <v>0.14</v>
      </c>
      <c r="U98" s="127" t="n">
        <v>0.14</v>
      </c>
      <c r="V98" s="127" t="n">
        <v>0.14</v>
      </c>
      <c r="W98" s="127" t="n">
        <v>0.14</v>
      </c>
      <c r="X98" s="127" t="n">
        <v>0.14</v>
      </c>
      <c r="Y98" s="127" t="n">
        <v>0.14</v>
      </c>
      <c r="Z98" s="127" t="n">
        <v>0.14</v>
      </c>
      <c r="AA98" s="127" t="n">
        <v>0.14</v>
      </c>
      <c r="AB98" s="127" t="n">
        <v>0.14</v>
      </c>
    </row>
    <row r="99" ht="15" customHeight="1">
      <c r="A99" s="121" t="inlineStr">
        <is>
          <t>Financing</t>
        </is>
      </c>
      <c r="B99" s="122" t="inlineStr">
        <is>
          <t>WACC pre-tax</t>
        </is>
      </c>
      <c r="C99" s="121" t="inlineStr">
        <is>
          <t>J29</t>
        </is>
      </c>
      <c r="D99" s="121" t="inlineStr">
        <is>
          <t>%</t>
        </is>
      </c>
      <c r="E99" s="121" t="inlineStr">
        <is>
          <t>Calculated</t>
        </is>
      </c>
      <c r="F99" s="123" t="inlineStr">
        <is>
          <t>Model result (reference check, GAIR 8.8.8).</t>
        </is>
      </c>
      <c r="G99" s="141" t="n">
        <v>0.112</v>
      </c>
      <c r="H99" s="141" t="n">
        <v>0.112</v>
      </c>
      <c r="I99" s="141" t="n">
        <v>0.112</v>
      </c>
      <c r="J99" s="141" t="n">
        <v>0.112</v>
      </c>
      <c r="K99" s="141" t="n">
        <v>0.112</v>
      </c>
      <c r="L99" s="141" t="n">
        <v>0.112</v>
      </c>
      <c r="M99" s="141" t="n">
        <v>0.112</v>
      </c>
      <c r="N99" s="141" t="n">
        <v>0.112</v>
      </c>
      <c r="O99" s="141" t="n">
        <v>0.112</v>
      </c>
      <c r="P99" s="141" t="n">
        <v>0.112</v>
      </c>
      <c r="Q99" s="141" t="n">
        <v>0.112</v>
      </c>
      <c r="R99" s="141" t="n">
        <v>0.112</v>
      </c>
      <c r="S99" s="141" t="n">
        <v>0.112</v>
      </c>
      <c r="T99" s="141" t="n">
        <v>0.112</v>
      </c>
      <c r="U99" s="141" t="n">
        <v>0.112</v>
      </c>
      <c r="V99" s="141" t="n">
        <v>0.112</v>
      </c>
      <c r="W99" s="141" t="n">
        <v>0.112</v>
      </c>
      <c r="X99" s="141" t="n">
        <v>0.112</v>
      </c>
      <c r="Y99" s="141" t="n">
        <v>0.112</v>
      </c>
      <c r="Z99" s="141" t="n">
        <v>0.112</v>
      </c>
      <c r="AA99" s="141" t="n">
        <v>0.112</v>
      </c>
      <c r="AB99" s="141" t="n">
        <v>0.112</v>
      </c>
    </row>
    <row r="100" ht="15" customHeight="1">
      <c r="A100" s="121" t="inlineStr">
        <is>
          <t>Financing</t>
        </is>
      </c>
      <c r="B100" s="122" t="inlineStr">
        <is>
          <t>WACC after-tax</t>
        </is>
      </c>
      <c r="C100" s="121" t="inlineStr">
        <is>
          <t>J30</t>
        </is>
      </c>
      <c r="D100" s="121" t="inlineStr">
        <is>
          <t>%</t>
        </is>
      </c>
      <c r="E100" s="121" t="inlineStr">
        <is>
          <t>Calculated</t>
        </is>
      </c>
      <c r="F100" s="123" t="inlineStr"/>
      <c r="G100" s="141" t="n">
        <v>0.08399999999999999</v>
      </c>
      <c r="H100" s="141" t="n">
        <v>0.08400000000000002</v>
      </c>
      <c r="I100" s="141" t="n">
        <v>0.08399999999999999</v>
      </c>
      <c r="J100" s="141" t="n">
        <v>0.08400000000000002</v>
      </c>
      <c r="K100" s="141" t="n">
        <v>0.08400000000000001</v>
      </c>
      <c r="L100" s="141" t="n">
        <v>0.08399999999999999</v>
      </c>
      <c r="M100" s="141" t="n">
        <v>0.08399999999999999</v>
      </c>
      <c r="N100" s="141" t="n">
        <v>0.08400000000000002</v>
      </c>
      <c r="O100" s="141" t="n">
        <v>0.08399999999999999</v>
      </c>
      <c r="P100" s="141" t="n">
        <v>0.08400000000000002</v>
      </c>
      <c r="Q100" s="141" t="n">
        <v>0.08400000000000002</v>
      </c>
      <c r="R100" s="141" t="n">
        <v>0.08399999999999999</v>
      </c>
      <c r="S100" s="141" t="n">
        <v>0.08400000000000002</v>
      </c>
      <c r="T100" s="141" t="n">
        <v>0.08399999999999999</v>
      </c>
      <c r="U100" s="141" t="n">
        <v>0.08400000000000002</v>
      </c>
      <c r="V100" s="141" t="n">
        <v>0.08400000000000001</v>
      </c>
      <c r="W100" s="141" t="n">
        <v>0.08399999999999999</v>
      </c>
      <c r="X100" s="141" t="n">
        <v>0.08399999999999999</v>
      </c>
      <c r="Y100" s="141" t="n">
        <v>0.08400000000000002</v>
      </c>
      <c r="Z100" s="141" t="n">
        <v>0.08399999999999999</v>
      </c>
      <c r="AA100" s="141" t="n">
        <v>0.08400000000000002</v>
      </c>
      <c r="AB100" s="141" t="n">
        <v>0.08400000000000002</v>
      </c>
    </row>
    <row r="101" ht="15" customHeight="1">
      <c r="A101" s="121" t="inlineStr">
        <is>
          <t>Financing</t>
        </is>
      </c>
      <c r="B101" s="122" t="inlineStr">
        <is>
          <t>WACC</t>
        </is>
      </c>
      <c r="C101" s="121" t="inlineStr">
        <is>
          <t>J31</t>
        </is>
      </c>
      <c r="D101" s="121" t="inlineStr">
        <is>
          <t>%</t>
        </is>
      </c>
      <c r="E101" s="121" t="inlineStr">
        <is>
          <t>Calculated</t>
        </is>
      </c>
      <c r="F101" s="123" t="inlineStr"/>
      <c r="G101" s="141" t="n">
        <v>0.098</v>
      </c>
      <c r="H101" s="141" t="n">
        <v>0.09800000000000002</v>
      </c>
      <c r="I101" s="141" t="n">
        <v>0.098</v>
      </c>
      <c r="J101" s="141" t="n">
        <v>0.09800000000000002</v>
      </c>
      <c r="K101" s="141" t="n">
        <v>0.098</v>
      </c>
      <c r="L101" s="141" t="n">
        <v>0.098</v>
      </c>
      <c r="M101" s="141" t="n">
        <v>0.098</v>
      </c>
      <c r="N101" s="141" t="n">
        <v>0.09800000000000002</v>
      </c>
      <c r="O101" s="141" t="n">
        <v>0.098</v>
      </c>
      <c r="P101" s="141" t="n">
        <v>0.09800000000000002</v>
      </c>
      <c r="Q101" s="141" t="n">
        <v>0.09800000000000002</v>
      </c>
      <c r="R101" s="141" t="n">
        <v>0.098</v>
      </c>
      <c r="S101" s="141" t="n">
        <v>0.09800000000000002</v>
      </c>
      <c r="T101" s="141" t="n">
        <v>0.098</v>
      </c>
      <c r="U101" s="141" t="n">
        <v>0.09800000000000002</v>
      </c>
      <c r="V101" s="141" t="n">
        <v>0.098</v>
      </c>
      <c r="W101" s="141" t="n">
        <v>0.098</v>
      </c>
      <c r="X101" s="141" t="n">
        <v>0.098</v>
      </c>
      <c r="Y101" s="141" t="n">
        <v>0.09800000000000002</v>
      </c>
      <c r="Z101" s="141" t="n">
        <v>0.098</v>
      </c>
      <c r="AA101" s="141" t="n">
        <v>0.09800000000000002</v>
      </c>
      <c r="AB101" s="141" t="n">
        <v>0.09800000000000002</v>
      </c>
    </row>
    <row r="103">
      <c r="A103" s="119" t="inlineStr">
        <is>
          <t>7. Taxes and incentives</t>
        </is>
      </c>
      <c r="B103" s="120" t="n"/>
      <c r="C103" s="120" t="n"/>
      <c r="D103" s="120" t="n"/>
      <c r="E103" s="120" t="n"/>
      <c r="F103" s="120"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c r="AA103" s="120" t="n"/>
      <c r="AB103" s="120" t="n"/>
    </row>
    <row r="104" ht="15" customHeight="1">
      <c r="A104" s="121" t="inlineStr">
        <is>
          <t>Taxes and incentives</t>
        </is>
      </c>
      <c r="B104" s="122" t="inlineStr">
        <is>
          <t>Type of incentives (1 = NO, 2 = BOI, 3 = PEZA)</t>
        </is>
      </c>
      <c r="C104" s="121" t="inlineStr">
        <is>
          <t>F51</t>
        </is>
      </c>
      <c r="D104" s="121" t="inlineStr">
        <is>
          <t>1/2/3</t>
        </is>
      </c>
      <c r="E104" s="121" t="inlineStr">
        <is>
          <t>Input</t>
        </is>
      </c>
      <c r="F104" s="123" t="inlineStr">
        <is>
          <t>No BOI/PEZA incentive assumed.</t>
        </is>
      </c>
      <c r="G104" s="125" t="n">
        <v>1</v>
      </c>
      <c r="H104" s="125" t="n">
        <v>1</v>
      </c>
      <c r="I104" s="125" t="n">
        <v>1</v>
      </c>
      <c r="J104" s="125" t="n">
        <v>1</v>
      </c>
      <c r="K104" s="125" t="n">
        <v>1</v>
      </c>
      <c r="L104" s="125" t="n">
        <v>1</v>
      </c>
      <c r="M104" s="125" t="n">
        <v>1</v>
      </c>
      <c r="N104" s="125" t="n">
        <v>1</v>
      </c>
      <c r="O104" s="125" t="n">
        <v>1</v>
      </c>
      <c r="P104" s="125" t="n">
        <v>1</v>
      </c>
      <c r="Q104" s="125" t="n">
        <v>1</v>
      </c>
      <c r="R104" s="125" t="n">
        <v>1</v>
      </c>
      <c r="S104" s="125" t="n">
        <v>1</v>
      </c>
      <c r="T104" s="125" t="n">
        <v>1</v>
      </c>
      <c r="U104" s="125" t="n">
        <v>1</v>
      </c>
      <c r="V104" s="125" t="n">
        <v>1</v>
      </c>
      <c r="W104" s="125" t="n">
        <v>1</v>
      </c>
      <c r="X104" s="125" t="n">
        <v>1</v>
      </c>
      <c r="Y104" s="125" t="n">
        <v>1</v>
      </c>
      <c r="Z104" s="125" t="n">
        <v>1</v>
      </c>
      <c r="AA104" s="125" t="n">
        <v>1</v>
      </c>
      <c r="AB104" s="125" t="n">
        <v>1</v>
      </c>
    </row>
    <row r="105" ht="15" customHeight="1">
      <c r="A105" s="121" t="inlineStr">
        <is>
          <t>Taxes and incentives</t>
        </is>
      </c>
      <c r="B105" s="122" t="inlineStr">
        <is>
          <t>Income Tax Holiday (yrs) [A.14]</t>
        </is>
      </c>
      <c r="C105" s="121" t="inlineStr">
        <is>
          <t>J33</t>
        </is>
      </c>
      <c r="D105" s="121" t="inlineStr">
        <is>
          <t>years</t>
        </is>
      </c>
      <c r="E105" s="121" t="inlineStr">
        <is>
          <t>Calculated</t>
        </is>
      </c>
      <c r="F105" s="123" t="inlineStr"/>
      <c r="G105" s="131" t="n">
        <v>0</v>
      </c>
      <c r="H105" s="131" t="n">
        <v>0</v>
      </c>
      <c r="I105" s="131" t="n">
        <v>0</v>
      </c>
      <c r="J105" s="131" t="n">
        <v>0</v>
      </c>
      <c r="K105" s="131" t="n">
        <v>0</v>
      </c>
      <c r="L105" s="131" t="n">
        <v>0</v>
      </c>
      <c r="M105" s="131" t="n">
        <v>0</v>
      </c>
      <c r="N105" s="131" t="n">
        <v>0</v>
      </c>
      <c r="O105" s="131" t="n">
        <v>0</v>
      </c>
      <c r="P105" s="131" t="n">
        <v>0</v>
      </c>
      <c r="Q105" s="131" t="n">
        <v>0</v>
      </c>
      <c r="R105" s="131" t="n">
        <v>0</v>
      </c>
      <c r="S105" s="131" t="n">
        <v>0</v>
      </c>
      <c r="T105" s="131" t="n">
        <v>0</v>
      </c>
      <c r="U105" s="131" t="n">
        <v>0</v>
      </c>
      <c r="V105" s="131" t="n">
        <v>0</v>
      </c>
      <c r="W105" s="131" t="n">
        <v>0</v>
      </c>
      <c r="X105" s="131" t="n">
        <v>0</v>
      </c>
      <c r="Y105" s="131" t="n">
        <v>0</v>
      </c>
      <c r="Z105" s="131" t="n">
        <v>0</v>
      </c>
      <c r="AA105" s="131" t="n">
        <v>0</v>
      </c>
      <c r="AB105" s="131" t="n">
        <v>0</v>
      </c>
    </row>
    <row r="106" ht="15" customHeight="1">
      <c r="A106" s="121" t="inlineStr">
        <is>
          <t>Taxes and incentives</t>
        </is>
      </c>
      <c r="B106" s="122" t="inlineStr">
        <is>
          <t>Income Tax Rate (after ITH) [A.14]</t>
        </is>
      </c>
      <c r="C106" s="121" t="inlineStr">
        <is>
          <t>J34</t>
        </is>
      </c>
      <c r="D106" s="121" t="inlineStr">
        <is>
          <t>%</t>
        </is>
      </c>
      <c r="E106" s="121" t="inlineStr">
        <is>
          <t>Calculated</t>
        </is>
      </c>
      <c r="F106" s="123" t="inlineStr"/>
      <c r="G106" s="128" t="n">
        <v>0.25</v>
      </c>
      <c r="H106" s="128" t="n">
        <v>0.25</v>
      </c>
      <c r="I106" s="128" t="n">
        <v>0.25</v>
      </c>
      <c r="J106" s="128" t="n">
        <v>0.25</v>
      </c>
      <c r="K106" s="128" t="n">
        <v>0.25</v>
      </c>
      <c r="L106" s="128" t="n">
        <v>0.25</v>
      </c>
      <c r="M106" s="128" t="n">
        <v>0.25</v>
      </c>
      <c r="N106" s="128" t="n">
        <v>0.25</v>
      </c>
      <c r="O106" s="128" t="n">
        <v>0.25</v>
      </c>
      <c r="P106" s="128" t="n">
        <v>0.25</v>
      </c>
      <c r="Q106" s="128" t="n">
        <v>0.25</v>
      </c>
      <c r="R106" s="128" t="n">
        <v>0.25</v>
      </c>
      <c r="S106" s="128" t="n">
        <v>0.25</v>
      </c>
      <c r="T106" s="128" t="n">
        <v>0.25</v>
      </c>
      <c r="U106" s="128" t="n">
        <v>0.25</v>
      </c>
      <c r="V106" s="128" t="n">
        <v>0.25</v>
      </c>
      <c r="W106" s="128" t="n">
        <v>0.25</v>
      </c>
      <c r="X106" s="128" t="n">
        <v>0.25</v>
      </c>
      <c r="Y106" s="128" t="n">
        <v>0.25</v>
      </c>
      <c r="Z106" s="128" t="n">
        <v>0.25</v>
      </c>
      <c r="AA106" s="128" t="n">
        <v>0.25</v>
      </c>
      <c r="AB106" s="128" t="n">
        <v>0.25</v>
      </c>
    </row>
    <row r="107" ht="15" customHeight="1">
      <c r="A107" s="121" t="inlineStr">
        <is>
          <t>Taxes and incentives</t>
        </is>
      </c>
      <c r="B107" s="122" t="inlineStr">
        <is>
          <t>Real Property Tax (from COD) [8.8.3]</t>
        </is>
      </c>
      <c r="C107" s="121" t="inlineStr">
        <is>
          <t>J35</t>
        </is>
      </c>
      <c r="D107" s="121" t="inlineStr">
        <is>
          <t>%</t>
        </is>
      </c>
      <c r="E107" s="121" t="inlineStr">
        <is>
          <t>Calculated</t>
        </is>
      </c>
      <c r="F107" s="123" t="inlineStr"/>
      <c r="G107" s="128" t="n">
        <v>0.02</v>
      </c>
      <c r="H107" s="128" t="n">
        <v>0.02</v>
      </c>
      <c r="I107" s="128" t="n">
        <v>0.02</v>
      </c>
      <c r="J107" s="128" t="n">
        <v>0.02</v>
      </c>
      <c r="K107" s="128" t="n">
        <v>0.02</v>
      </c>
      <c r="L107" s="128" t="n">
        <v>0.02</v>
      </c>
      <c r="M107" s="128" t="n">
        <v>0.02</v>
      </c>
      <c r="N107" s="128" t="n">
        <v>0.02</v>
      </c>
      <c r="O107" s="128" t="n">
        <v>0.02</v>
      </c>
      <c r="P107" s="128" t="n">
        <v>0.02</v>
      </c>
      <c r="Q107" s="128" t="n">
        <v>0.02</v>
      </c>
      <c r="R107" s="128" t="n">
        <v>0.02</v>
      </c>
      <c r="S107" s="128" t="n">
        <v>0.02</v>
      </c>
      <c r="T107" s="128" t="n">
        <v>0.02</v>
      </c>
      <c r="U107" s="128" t="n">
        <v>0.02</v>
      </c>
      <c r="V107" s="128" t="n">
        <v>0.02</v>
      </c>
      <c r="W107" s="128" t="n">
        <v>0.02</v>
      </c>
      <c r="X107" s="128" t="n">
        <v>0.02</v>
      </c>
      <c r="Y107" s="128" t="n">
        <v>0.02</v>
      </c>
      <c r="Z107" s="128" t="n">
        <v>0.02</v>
      </c>
      <c r="AA107" s="128" t="n">
        <v>0.02</v>
      </c>
      <c r="AB107" s="128" t="n">
        <v>0.02</v>
      </c>
    </row>
    <row r="108" ht="15" customHeight="1">
      <c r="A108" s="121" t="inlineStr">
        <is>
          <t>Taxes and incentives</t>
        </is>
      </c>
      <c r="B108" s="122" t="inlineStr">
        <is>
          <t>RPT Assessment Level (% of NBV) [A.26]</t>
        </is>
      </c>
      <c r="C108" s="121" t="inlineStr">
        <is>
          <t>J36</t>
        </is>
      </c>
      <c r="D108" s="121" t="inlineStr">
        <is>
          <t>% of NBV</t>
        </is>
      </c>
      <c r="E108" s="121" t="inlineStr">
        <is>
          <t>Calculated</t>
        </is>
      </c>
      <c r="F108" s="123" t="inlineStr"/>
      <c r="G108" s="128" t="n">
        <v>0.8</v>
      </c>
      <c r="H108" s="128" t="n">
        <v>0.8</v>
      </c>
      <c r="I108" s="128" t="n">
        <v>0.8</v>
      </c>
      <c r="J108" s="128" t="n">
        <v>0.8</v>
      </c>
      <c r="K108" s="128" t="n">
        <v>0.8</v>
      </c>
      <c r="L108" s="128" t="n">
        <v>0.8</v>
      </c>
      <c r="M108" s="128" t="n">
        <v>0.8</v>
      </c>
      <c r="N108" s="128" t="n">
        <v>0.8</v>
      </c>
      <c r="O108" s="128" t="n">
        <v>0.8</v>
      </c>
      <c r="P108" s="128" t="n">
        <v>0.8</v>
      </c>
      <c r="Q108" s="128" t="n">
        <v>0.8</v>
      </c>
      <c r="R108" s="128" t="n">
        <v>0.8</v>
      </c>
      <c r="S108" s="128" t="n">
        <v>0.8</v>
      </c>
      <c r="T108" s="128" t="n">
        <v>0.8</v>
      </c>
      <c r="U108" s="128" t="n">
        <v>0.8</v>
      </c>
      <c r="V108" s="128" t="n">
        <v>0.8</v>
      </c>
      <c r="W108" s="128" t="n">
        <v>0.8</v>
      </c>
      <c r="X108" s="128" t="n">
        <v>0.8</v>
      </c>
      <c r="Y108" s="128" t="n">
        <v>0.8</v>
      </c>
      <c r="Z108" s="128" t="n">
        <v>0.8</v>
      </c>
      <c r="AA108" s="128" t="n">
        <v>0.8</v>
      </c>
      <c r="AB108" s="128" t="n">
        <v>0.8</v>
      </c>
    </row>
    <row r="109" ht="15" customHeight="1">
      <c r="A109" s="121" t="inlineStr">
        <is>
          <t>Taxes and incentives</t>
        </is>
      </c>
      <c r="B109" s="122" t="inlineStr">
        <is>
          <t>Local Business Tax [Sec. 8.8.3]</t>
        </is>
      </c>
      <c r="C109" s="121" t="inlineStr">
        <is>
          <t>J37</t>
        </is>
      </c>
      <c r="D109" s="121" t="inlineStr">
        <is>
          <t>%</t>
        </is>
      </c>
      <c r="E109" s="121" t="inlineStr">
        <is>
          <t>Calculated</t>
        </is>
      </c>
      <c r="F109" s="123" t="inlineStr"/>
      <c r="G109" s="128" t="n">
        <v>0.01</v>
      </c>
      <c r="H109" s="128" t="n">
        <v>0.01</v>
      </c>
      <c r="I109" s="128" t="n">
        <v>0.01</v>
      </c>
      <c r="J109" s="128" t="n">
        <v>0.01</v>
      </c>
      <c r="K109" s="128" t="n">
        <v>0.01</v>
      </c>
      <c r="L109" s="128" t="n">
        <v>0.01</v>
      </c>
      <c r="M109" s="128" t="n">
        <v>0.01</v>
      </c>
      <c r="N109" s="128" t="n">
        <v>0.01</v>
      </c>
      <c r="O109" s="128" t="n">
        <v>0.01</v>
      </c>
      <c r="P109" s="128" t="n">
        <v>0.01</v>
      </c>
      <c r="Q109" s="128" t="n">
        <v>0.01</v>
      </c>
      <c r="R109" s="128" t="n">
        <v>0.01</v>
      </c>
      <c r="S109" s="128" t="n">
        <v>0.01</v>
      </c>
      <c r="T109" s="128" t="n">
        <v>0.01</v>
      </c>
      <c r="U109" s="128" t="n">
        <v>0.01</v>
      </c>
      <c r="V109" s="128" t="n">
        <v>0.01</v>
      </c>
      <c r="W109" s="128" t="n">
        <v>0.01</v>
      </c>
      <c r="X109" s="128" t="n">
        <v>0.01</v>
      </c>
      <c r="Y109" s="128" t="n">
        <v>0.01</v>
      </c>
      <c r="Z109" s="128" t="n">
        <v>0.01</v>
      </c>
      <c r="AA109" s="128" t="n">
        <v>0.01</v>
      </c>
      <c r="AB109" s="128" t="n">
        <v>0.01</v>
      </c>
    </row>
    <row r="110" ht="15" customHeight="1">
      <c r="A110" s="121" t="inlineStr">
        <is>
          <t>Taxes and incentives</t>
        </is>
      </c>
      <c r="B110" s="122" t="inlineStr">
        <is>
          <t>Government Share (n/a to gas, Sec. 8.8.3)</t>
        </is>
      </c>
      <c r="C110" s="121" t="inlineStr">
        <is>
          <t>J38</t>
        </is>
      </c>
      <c r="D110" s="121" t="inlineStr">
        <is>
          <t>%</t>
        </is>
      </c>
      <c r="E110" s="121" t="inlineStr">
        <is>
          <t>Calculated</t>
        </is>
      </c>
      <c r="F110" s="123" t="inlineStr"/>
      <c r="G110" s="128" t="n">
        <v>0</v>
      </c>
      <c r="H110" s="128" t="n">
        <v>0</v>
      </c>
      <c r="I110" s="128" t="n">
        <v>0</v>
      </c>
      <c r="J110" s="128" t="n">
        <v>0</v>
      </c>
      <c r="K110" s="128" t="n">
        <v>0</v>
      </c>
      <c r="L110" s="128" t="n">
        <v>0</v>
      </c>
      <c r="M110" s="128" t="n">
        <v>0</v>
      </c>
      <c r="N110" s="128" t="n">
        <v>0</v>
      </c>
      <c r="O110" s="128" t="n">
        <v>0</v>
      </c>
      <c r="P110" s="128" t="n">
        <v>0</v>
      </c>
      <c r="Q110" s="128" t="n">
        <v>0</v>
      </c>
      <c r="R110" s="128" t="n">
        <v>0</v>
      </c>
      <c r="S110" s="128" t="n">
        <v>0</v>
      </c>
      <c r="T110" s="128" t="n">
        <v>0</v>
      </c>
      <c r="U110" s="128" t="n">
        <v>0</v>
      </c>
      <c r="V110" s="128" t="n">
        <v>0</v>
      </c>
      <c r="W110" s="128" t="n">
        <v>0</v>
      </c>
      <c r="X110" s="128" t="n">
        <v>0</v>
      </c>
      <c r="Y110" s="128" t="n">
        <v>0</v>
      </c>
      <c r="Z110" s="128" t="n">
        <v>0</v>
      </c>
      <c r="AA110" s="128" t="n">
        <v>0</v>
      </c>
      <c r="AB110" s="128" t="n">
        <v>0</v>
      </c>
    </row>
    <row r="111" ht="15" customHeight="1">
      <c r="A111" s="121" t="inlineStr">
        <is>
          <t>Taxes and incentives</t>
        </is>
      </c>
      <c r="B111" s="122" t="inlineStr">
        <is>
          <t>ER 1-94 host-community benefit (USD/kWh) [8.8.3]</t>
        </is>
      </c>
      <c r="C111" s="121" t="inlineStr">
        <is>
          <t>J39</t>
        </is>
      </c>
      <c r="D111" s="121" t="inlineStr">
        <is>
          <t>US$/kWh</t>
        </is>
      </c>
      <c r="E111" s="121" t="inlineStr">
        <is>
          <t>Calculated</t>
        </is>
      </c>
      <c r="F111" s="123" t="inlineStr"/>
      <c r="G111" s="142" t="n">
        <v>0.000478041940212888</v>
      </c>
      <c r="H111" s="142" t="n">
        <v>0.000478041940212888</v>
      </c>
      <c r="I111" s="142" t="n">
        <v>0.000478041940212888</v>
      </c>
      <c r="J111" s="142" t="n">
        <v>0.000478041940212888</v>
      </c>
      <c r="K111" s="142" t="n">
        <v>0.000478041940212888</v>
      </c>
      <c r="L111" s="142" t="n">
        <v>0.000478041940212888</v>
      </c>
      <c r="M111" s="142" t="n">
        <v>0.000478041940212888</v>
      </c>
      <c r="N111" s="142" t="n">
        <v>0.000478041940212888</v>
      </c>
      <c r="O111" s="142" t="n">
        <v>0.000478041940212888</v>
      </c>
      <c r="P111" s="142" t="n">
        <v>0.000478041940212888</v>
      </c>
      <c r="Q111" s="142" t="n">
        <v>0.000478041940212888</v>
      </c>
      <c r="R111" s="142" t="n">
        <v>0.000478041940212888</v>
      </c>
      <c r="S111" s="142" t="n">
        <v>0.000478041940212888</v>
      </c>
      <c r="T111" s="142" t="n">
        <v>0.000478041940212888</v>
      </c>
      <c r="U111" s="142" t="n">
        <v>0.000478041940212888</v>
      </c>
      <c r="V111" s="142" t="n">
        <v>0.000478041940212888</v>
      </c>
      <c r="W111" s="142" t="n">
        <v>0.000478041940212888</v>
      </c>
      <c r="X111" s="142" t="n">
        <v>0.000478041940212888</v>
      </c>
      <c r="Y111" s="142" t="n">
        <v>0.000478041940212888</v>
      </c>
      <c r="Z111" s="142" t="n">
        <v>0.000478041940212888</v>
      </c>
      <c r="AA111" s="142" t="n">
        <v>0.000478041940212888</v>
      </c>
      <c r="AB111" s="142" t="n">
        <v>0.000478041940212888</v>
      </c>
    </row>
    <row r="112" ht="24" customHeight="1">
      <c r="A112" s="121" t="inlineStr">
        <is>
          <t>Taxes and incentives</t>
        </is>
      </c>
      <c r="B112" s="122" t="inlineStr">
        <is>
          <t>Withholding Tax on Interest (Foreign Currency) - WHT</t>
        </is>
      </c>
      <c r="C112" s="121" t="inlineStr">
        <is>
          <t>J40</t>
        </is>
      </c>
      <c r="D112" s="121" t="inlineStr">
        <is>
          <t>%</t>
        </is>
      </c>
      <c r="E112" s="121" t="inlineStr">
        <is>
          <t>Calculated</t>
        </is>
      </c>
      <c r="F112" s="123" t="inlineStr"/>
      <c r="G112" s="128" t="n">
        <v>0.1</v>
      </c>
      <c r="H112" s="128" t="n">
        <v>0.1</v>
      </c>
      <c r="I112" s="128" t="n">
        <v>0.1</v>
      </c>
      <c r="J112" s="128" t="n">
        <v>0.1</v>
      </c>
      <c r="K112" s="128" t="n">
        <v>0.1</v>
      </c>
      <c r="L112" s="128" t="n">
        <v>0.1</v>
      </c>
      <c r="M112" s="128" t="n">
        <v>0.1</v>
      </c>
      <c r="N112" s="128" t="n">
        <v>0.1</v>
      </c>
      <c r="O112" s="128" t="n">
        <v>0.1</v>
      </c>
      <c r="P112" s="128" t="n">
        <v>0.1</v>
      </c>
      <c r="Q112" s="128" t="n">
        <v>0.1</v>
      </c>
      <c r="R112" s="128" t="n">
        <v>0.1</v>
      </c>
      <c r="S112" s="128" t="n">
        <v>0.1</v>
      </c>
      <c r="T112" s="128" t="n">
        <v>0.1</v>
      </c>
      <c r="U112" s="128" t="n">
        <v>0.1</v>
      </c>
      <c r="V112" s="128" t="n">
        <v>0.1</v>
      </c>
      <c r="W112" s="128" t="n">
        <v>0.1</v>
      </c>
      <c r="X112" s="128" t="n">
        <v>0.1</v>
      </c>
      <c r="Y112" s="128" t="n">
        <v>0.1</v>
      </c>
      <c r="Z112" s="128" t="n">
        <v>0.1</v>
      </c>
      <c r="AA112" s="128" t="n">
        <v>0.1</v>
      </c>
      <c r="AB112" s="128" t="n">
        <v>0.1</v>
      </c>
    </row>
    <row r="113" ht="24" customHeight="1">
      <c r="A113" s="121" t="inlineStr">
        <is>
          <t>Taxes and incentives</t>
        </is>
      </c>
      <c r="B113" s="122" t="inlineStr">
        <is>
          <t>Gross Receipts Tax on Interest (Local Currency) - GRT</t>
        </is>
      </c>
      <c r="C113" s="121" t="inlineStr">
        <is>
          <t>J41</t>
        </is>
      </c>
      <c r="D113" s="121" t="inlineStr">
        <is>
          <t>%</t>
        </is>
      </c>
      <c r="E113" s="121" t="inlineStr">
        <is>
          <t>Calculated</t>
        </is>
      </c>
      <c r="F113" s="123" t="inlineStr"/>
      <c r="G113" s="128" t="n">
        <v>0.01</v>
      </c>
      <c r="H113" s="128" t="n">
        <v>0.01</v>
      </c>
      <c r="I113" s="128" t="n">
        <v>0.01</v>
      </c>
      <c r="J113" s="128" t="n">
        <v>0.01</v>
      </c>
      <c r="K113" s="128" t="n">
        <v>0.01</v>
      </c>
      <c r="L113" s="128" t="n">
        <v>0.01</v>
      </c>
      <c r="M113" s="128" t="n">
        <v>0.01</v>
      </c>
      <c r="N113" s="128" t="n">
        <v>0.01</v>
      </c>
      <c r="O113" s="128" t="n">
        <v>0.01</v>
      </c>
      <c r="P113" s="128" t="n">
        <v>0.01</v>
      </c>
      <c r="Q113" s="128" t="n">
        <v>0.01</v>
      </c>
      <c r="R113" s="128" t="n">
        <v>0.01</v>
      </c>
      <c r="S113" s="128" t="n">
        <v>0.01</v>
      </c>
      <c r="T113" s="128" t="n">
        <v>0.01</v>
      </c>
      <c r="U113" s="128" t="n">
        <v>0.01</v>
      </c>
      <c r="V113" s="128" t="n">
        <v>0.01</v>
      </c>
      <c r="W113" s="128" t="n">
        <v>0.01</v>
      </c>
      <c r="X113" s="128" t="n">
        <v>0.01</v>
      </c>
      <c r="Y113" s="128" t="n">
        <v>0.01</v>
      </c>
      <c r="Z113" s="128" t="n">
        <v>0.01</v>
      </c>
      <c r="AA113" s="128" t="n">
        <v>0.01</v>
      </c>
      <c r="AB113" s="128" t="n">
        <v>0.01</v>
      </c>
    </row>
    <row r="114" ht="15" customHeight="1">
      <c r="A114" s="121" t="inlineStr">
        <is>
          <t>Taxes and incentives</t>
        </is>
      </c>
      <c r="B114" s="122" t="inlineStr">
        <is>
          <t>Documentary Stamps Tax (DST)</t>
        </is>
      </c>
      <c r="C114" s="121" t="inlineStr">
        <is>
          <t>J42</t>
        </is>
      </c>
      <c r="D114" s="121" t="inlineStr">
        <is>
          <t>%</t>
        </is>
      </c>
      <c r="E114" s="121" t="inlineStr">
        <is>
          <t>Calculated</t>
        </is>
      </c>
      <c r="F114" s="123" t="inlineStr"/>
      <c r="G114" s="141" t="n">
        <v>0.005</v>
      </c>
      <c r="H114" s="141" t="n">
        <v>0.005</v>
      </c>
      <c r="I114" s="141" t="n">
        <v>0.005</v>
      </c>
      <c r="J114" s="141" t="n">
        <v>0.005</v>
      </c>
      <c r="K114" s="141" t="n">
        <v>0.005</v>
      </c>
      <c r="L114" s="141" t="n">
        <v>0.005</v>
      </c>
      <c r="M114" s="141" t="n">
        <v>0.005</v>
      </c>
      <c r="N114" s="141" t="n">
        <v>0.005</v>
      </c>
      <c r="O114" s="141" t="n">
        <v>0.005</v>
      </c>
      <c r="P114" s="141" t="n">
        <v>0.005</v>
      </c>
      <c r="Q114" s="141" t="n">
        <v>0.005</v>
      </c>
      <c r="R114" s="141" t="n">
        <v>0.005</v>
      </c>
      <c r="S114" s="141" t="n">
        <v>0.005</v>
      </c>
      <c r="T114" s="141" t="n">
        <v>0.005</v>
      </c>
      <c r="U114" s="141" t="n">
        <v>0.005</v>
      </c>
      <c r="V114" s="141" t="n">
        <v>0.005</v>
      </c>
      <c r="W114" s="141" t="n">
        <v>0.005</v>
      </c>
      <c r="X114" s="141" t="n">
        <v>0.005</v>
      </c>
      <c r="Y114" s="141" t="n">
        <v>0.005</v>
      </c>
      <c r="Z114" s="141" t="n">
        <v>0.005</v>
      </c>
      <c r="AA114" s="141" t="n">
        <v>0.005</v>
      </c>
      <c r="AB114" s="141" t="n">
        <v>0.005</v>
      </c>
    </row>
    <row r="115" ht="15" customHeight="1">
      <c r="A115" s="121" t="inlineStr">
        <is>
          <t>Taxes and incentives</t>
        </is>
      </c>
      <c r="B115" s="122" t="inlineStr">
        <is>
          <t>PEZA Incentives (% of gross income) - 0% / 5%</t>
        </is>
      </c>
      <c r="C115" s="121" t="inlineStr">
        <is>
          <t>J43</t>
        </is>
      </c>
      <c r="D115" s="121" t="inlineStr">
        <is>
          <t>%</t>
        </is>
      </c>
      <c r="E115" s="121" t="inlineStr">
        <is>
          <t>Calculated</t>
        </is>
      </c>
      <c r="F115" s="123" t="inlineStr"/>
      <c r="G115" s="128" t="n">
        <v>0</v>
      </c>
      <c r="H115" s="128" t="n">
        <v>0</v>
      </c>
      <c r="I115" s="128" t="n">
        <v>0</v>
      </c>
      <c r="J115" s="128" t="n">
        <v>0</v>
      </c>
      <c r="K115" s="128" t="n">
        <v>0</v>
      </c>
      <c r="L115" s="128" t="n">
        <v>0</v>
      </c>
      <c r="M115" s="128" t="n">
        <v>0</v>
      </c>
      <c r="N115" s="128" t="n">
        <v>0</v>
      </c>
      <c r="O115" s="128" t="n">
        <v>0</v>
      </c>
      <c r="P115" s="128" t="n">
        <v>0</v>
      </c>
      <c r="Q115" s="128" t="n">
        <v>0</v>
      </c>
      <c r="R115" s="128" t="n">
        <v>0</v>
      </c>
      <c r="S115" s="128" t="n">
        <v>0</v>
      </c>
      <c r="T115" s="128" t="n">
        <v>0</v>
      </c>
      <c r="U115" s="128" t="n">
        <v>0</v>
      </c>
      <c r="V115" s="128" t="n">
        <v>0</v>
      </c>
      <c r="W115" s="128" t="n">
        <v>0</v>
      </c>
      <c r="X115" s="128" t="n">
        <v>0</v>
      </c>
      <c r="Y115" s="128" t="n">
        <v>0</v>
      </c>
      <c r="Z115" s="128" t="n">
        <v>0</v>
      </c>
      <c r="AA115" s="128" t="n">
        <v>0</v>
      </c>
      <c r="AB115" s="128" t="n">
        <v>0</v>
      </c>
    </row>
    <row r="116" ht="15" customHeight="1">
      <c r="A116" s="121" t="inlineStr">
        <is>
          <t>Taxes and incentives</t>
        </is>
      </c>
      <c r="B116" s="122" t="inlineStr">
        <is>
          <t>VAT on importation (70% recoverable)</t>
        </is>
      </c>
      <c r="C116" s="121" t="inlineStr">
        <is>
          <t>Sens. F3</t>
        </is>
      </c>
      <c r="D116" s="121" t="inlineStr">
        <is>
          <t>%</t>
        </is>
      </c>
      <c r="E116" s="121" t="inlineStr">
        <is>
          <t>Calculated</t>
        </is>
      </c>
      <c r="F116" s="123" t="inlineStr">
        <is>
          <t>12% VAT (NIRC Sec. 107).</t>
        </is>
      </c>
      <c r="G116" s="128" t="n">
        <v>0.12</v>
      </c>
      <c r="H116" s="128" t="n">
        <v>0.12</v>
      </c>
      <c r="I116" s="128" t="n">
        <v>0.12</v>
      </c>
      <c r="J116" s="128" t="n">
        <v>0.12</v>
      </c>
      <c r="K116" s="128" t="n">
        <v>0.12</v>
      </c>
      <c r="L116" s="128" t="n">
        <v>0.12</v>
      </c>
      <c r="M116" s="128" t="n">
        <v>0.12</v>
      </c>
      <c r="N116" s="128" t="n">
        <v>0.12</v>
      </c>
      <c r="O116" s="128" t="n">
        <v>0.12</v>
      </c>
      <c r="P116" s="128" t="n">
        <v>0.12</v>
      </c>
      <c r="Q116" s="128" t="n">
        <v>0.12</v>
      </c>
      <c r="R116" s="128" t="n">
        <v>0.12</v>
      </c>
      <c r="S116" s="128" t="n">
        <v>0.12</v>
      </c>
      <c r="T116" s="128" t="n">
        <v>0.12</v>
      </c>
      <c r="U116" s="128" t="n">
        <v>0.12</v>
      </c>
      <c r="V116" s="128" t="n">
        <v>0.12</v>
      </c>
      <c r="W116" s="128" t="n">
        <v>0.12</v>
      </c>
      <c r="X116" s="128" t="n">
        <v>0.12</v>
      </c>
      <c r="Y116" s="128" t="n">
        <v>0.12</v>
      </c>
      <c r="Z116" s="128" t="n">
        <v>0.12</v>
      </c>
      <c r="AA116" s="128" t="n">
        <v>0.12</v>
      </c>
      <c r="AB116" s="128" t="n">
        <v>0.12</v>
      </c>
    </row>
    <row r="117" ht="24" customHeight="1">
      <c r="A117" s="121" t="inlineStr">
        <is>
          <t>Taxes and incentives</t>
        </is>
      </c>
      <c r="B117" s="122" t="inlineStr">
        <is>
          <t>Customs Duty</t>
        </is>
      </c>
      <c r="C117" s="121" t="inlineStr">
        <is>
          <t>Sens. F4</t>
        </is>
      </c>
      <c r="D117" s="121" t="inlineStr">
        <is>
          <t>%</t>
        </is>
      </c>
      <c r="E117" s="121" t="inlineStr">
        <is>
          <t>Calculated</t>
        </is>
      </c>
      <c r="F117" s="123" t="inlineStr">
        <is>
          <t>naruto / ERC Mid-Merit Financial Model default (ADV model reviewed 9 Oct 2026); unchanged across cases.</t>
        </is>
      </c>
      <c r="G117" s="128" t="n">
        <v>0.03</v>
      </c>
      <c r="H117" s="128" t="n">
        <v>0.03</v>
      </c>
      <c r="I117" s="128" t="n">
        <v>0.03</v>
      </c>
      <c r="J117" s="128" t="n">
        <v>0.03</v>
      </c>
      <c r="K117" s="128" t="n">
        <v>0.03</v>
      </c>
      <c r="L117" s="128" t="n">
        <v>0.03</v>
      </c>
      <c r="M117" s="128" t="n">
        <v>0.03</v>
      </c>
      <c r="N117" s="128" t="n">
        <v>0.03</v>
      </c>
      <c r="O117" s="128" t="n">
        <v>0.03</v>
      </c>
      <c r="P117" s="128" t="n">
        <v>0.03</v>
      </c>
      <c r="Q117" s="128" t="n">
        <v>0.03</v>
      </c>
      <c r="R117" s="128" t="n">
        <v>0.03</v>
      </c>
      <c r="S117" s="128" t="n">
        <v>0.03</v>
      </c>
      <c r="T117" s="128" t="n">
        <v>0.03</v>
      </c>
      <c r="U117" s="128" t="n">
        <v>0.03</v>
      </c>
      <c r="V117" s="128" t="n">
        <v>0.03</v>
      </c>
      <c r="W117" s="128" t="n">
        <v>0.03</v>
      </c>
      <c r="X117" s="128" t="n">
        <v>0.03</v>
      </c>
      <c r="Y117" s="128" t="n">
        <v>0.03</v>
      </c>
      <c r="Z117" s="128" t="n">
        <v>0.03</v>
      </c>
      <c r="AA117" s="128" t="n">
        <v>0.03</v>
      </c>
      <c r="AB117" s="128" t="n">
        <v>0.03</v>
      </c>
    </row>
    <row r="118" ht="24" customHeight="1">
      <c r="A118" s="121" t="inlineStr">
        <is>
          <t>Taxes and incentives</t>
        </is>
      </c>
      <c r="B118" s="122" t="inlineStr">
        <is>
          <t>VAT Recovery, %</t>
        </is>
      </c>
      <c r="C118" s="121" t="inlineStr">
        <is>
          <t>Sens. F5</t>
        </is>
      </c>
      <c r="D118" s="121" t="inlineStr">
        <is>
          <t>%</t>
        </is>
      </c>
      <c r="E118" s="121" t="inlineStr">
        <is>
          <t>Calculated</t>
        </is>
      </c>
      <c r="F118" s="123" t="inlineStr">
        <is>
          <t>naruto / ERC Mid-Merit Financial Model default (ADV model reviewed 9 Oct 2026); unchanged across cases.</t>
        </is>
      </c>
      <c r="G118" s="128" t="n">
        <v>0</v>
      </c>
      <c r="H118" s="128" t="n">
        <v>0</v>
      </c>
      <c r="I118" s="128" t="n">
        <v>0</v>
      </c>
      <c r="J118" s="128" t="n">
        <v>0</v>
      </c>
      <c r="K118" s="128" t="n">
        <v>0</v>
      </c>
      <c r="L118" s="128" t="n">
        <v>0</v>
      </c>
      <c r="M118" s="128" t="n">
        <v>0</v>
      </c>
      <c r="N118" s="128" t="n">
        <v>0</v>
      </c>
      <c r="O118" s="128" t="n">
        <v>0</v>
      </c>
      <c r="P118" s="128" t="n">
        <v>0</v>
      </c>
      <c r="Q118" s="128" t="n">
        <v>0</v>
      </c>
      <c r="R118" s="128" t="n">
        <v>0</v>
      </c>
      <c r="S118" s="128" t="n">
        <v>0</v>
      </c>
      <c r="T118" s="128" t="n">
        <v>0</v>
      </c>
      <c r="U118" s="128" t="n">
        <v>0</v>
      </c>
      <c r="V118" s="128" t="n">
        <v>0</v>
      </c>
      <c r="W118" s="128" t="n">
        <v>0</v>
      </c>
      <c r="X118" s="128" t="n">
        <v>0</v>
      </c>
      <c r="Y118" s="128" t="n">
        <v>0</v>
      </c>
      <c r="Z118" s="128" t="n">
        <v>0</v>
      </c>
      <c r="AA118" s="128" t="n">
        <v>0</v>
      </c>
      <c r="AB118" s="128" t="n">
        <v>0</v>
      </c>
    </row>
    <row r="119" ht="24" customHeight="1">
      <c r="A119" s="121" t="inlineStr">
        <is>
          <t>Taxes and incentives</t>
        </is>
      </c>
      <c r="B119" s="122" t="inlineStr">
        <is>
          <t>Timing of VAT recovery (yrs after COD)</t>
        </is>
      </c>
      <c r="C119" s="121" t="inlineStr">
        <is>
          <t>Sens. F6</t>
        </is>
      </c>
      <c r="D119" s="121" t="inlineStr">
        <is>
          <t>years</t>
        </is>
      </c>
      <c r="E119" s="121" t="inlineStr">
        <is>
          <t>Calculated</t>
        </is>
      </c>
      <c r="F119" s="123" t="inlineStr">
        <is>
          <t>naruto / ERC Mid-Merit Financial Model default (ADV model reviewed 9 Oct 2026); unchanged across cases.</t>
        </is>
      </c>
      <c r="G119" s="131" t="n">
        <v>0</v>
      </c>
      <c r="H119" s="131" t="n">
        <v>0</v>
      </c>
      <c r="I119" s="131" t="n">
        <v>0</v>
      </c>
      <c r="J119" s="131" t="n">
        <v>0</v>
      </c>
      <c r="K119" s="131" t="n">
        <v>0</v>
      </c>
      <c r="L119" s="131" t="n">
        <v>0</v>
      </c>
      <c r="M119" s="131" t="n">
        <v>0</v>
      </c>
      <c r="N119" s="131" t="n">
        <v>0</v>
      </c>
      <c r="O119" s="131" t="n">
        <v>0</v>
      </c>
      <c r="P119" s="131" t="n">
        <v>0</v>
      </c>
      <c r="Q119" s="131" t="n">
        <v>0</v>
      </c>
      <c r="R119" s="131" t="n">
        <v>0</v>
      </c>
      <c r="S119" s="131" t="n">
        <v>0</v>
      </c>
      <c r="T119" s="131" t="n">
        <v>0</v>
      </c>
      <c r="U119" s="131" t="n">
        <v>0</v>
      </c>
      <c r="V119" s="131" t="n">
        <v>0</v>
      </c>
      <c r="W119" s="131" t="n">
        <v>0</v>
      </c>
      <c r="X119" s="131" t="n">
        <v>0</v>
      </c>
      <c r="Y119" s="131" t="n">
        <v>0</v>
      </c>
      <c r="Z119" s="131" t="n">
        <v>0</v>
      </c>
      <c r="AA119" s="131" t="n">
        <v>0</v>
      </c>
      <c r="AB119" s="131" t="n">
        <v>0</v>
      </c>
    </row>
    <row r="121">
      <c r="A121" s="119" t="inlineStr">
        <is>
          <t>8. Economic, working capital and currency</t>
        </is>
      </c>
      <c r="B121" s="120" t="n"/>
      <c r="C121" s="120" t="n"/>
      <c r="D121" s="120" t="n"/>
      <c r="E121" s="120" t="n"/>
      <c r="F121" s="120"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c r="AA121" s="120" t="n"/>
      <c r="AB121" s="120" t="n"/>
    </row>
    <row r="122" ht="15" customHeight="1">
      <c r="A122" s="121" t="inlineStr">
        <is>
          <t>Economic, working capital and currency</t>
        </is>
      </c>
      <c r="B122" s="122" t="inlineStr">
        <is>
          <t>Base Foreign Exchange Rate (USD/US$) - 2028</t>
        </is>
      </c>
      <c r="C122" s="121" t="inlineStr">
        <is>
          <t>J46</t>
        </is>
      </c>
      <c r="D122" s="121" t="inlineStr">
        <is>
          <t>ratio</t>
        </is>
      </c>
      <c r="E122" s="121" t="inlineStr">
        <is>
          <t>Input</t>
        </is>
      </c>
      <c r="F122" s="123" t="inlineStr"/>
      <c r="G122" s="138" t="n">
        <v>1</v>
      </c>
      <c r="H122" s="138" t="n">
        <v>1</v>
      </c>
      <c r="I122" s="138" t="n">
        <v>1</v>
      </c>
      <c r="J122" s="138" t="n">
        <v>1</v>
      </c>
      <c r="K122" s="138" t="n">
        <v>1</v>
      </c>
      <c r="L122" s="138" t="n">
        <v>1</v>
      </c>
      <c r="M122" s="138" t="n">
        <v>1</v>
      </c>
      <c r="N122" s="138" t="n">
        <v>1</v>
      </c>
      <c r="O122" s="138" t="n">
        <v>1</v>
      </c>
      <c r="P122" s="138" t="n">
        <v>1</v>
      </c>
      <c r="Q122" s="138" t="n">
        <v>1</v>
      </c>
      <c r="R122" s="138" t="n">
        <v>1</v>
      </c>
      <c r="S122" s="138" t="n">
        <v>1</v>
      </c>
      <c r="T122" s="138" t="n">
        <v>1</v>
      </c>
      <c r="U122" s="138" t="n">
        <v>1</v>
      </c>
      <c r="V122" s="138" t="n">
        <v>1</v>
      </c>
      <c r="W122" s="138" t="n">
        <v>1</v>
      </c>
      <c r="X122" s="138" t="n">
        <v>1</v>
      </c>
      <c r="Y122" s="138" t="n">
        <v>1</v>
      </c>
      <c r="Z122" s="138" t="n">
        <v>1</v>
      </c>
      <c r="AA122" s="138" t="n">
        <v>1</v>
      </c>
      <c r="AB122" s="138" t="n">
        <v>1</v>
      </c>
    </row>
    <row r="123" ht="15" customHeight="1">
      <c r="A123" s="121" t="inlineStr">
        <is>
          <t>Economic, working capital and currency</t>
        </is>
      </c>
      <c r="B123" s="122" t="inlineStr">
        <is>
          <t>Forward Fixed Exchange Rate (2028)</t>
        </is>
      </c>
      <c r="C123" s="121" t="inlineStr">
        <is>
          <t>J47</t>
        </is>
      </c>
      <c r="D123" s="121" t="inlineStr">
        <is>
          <t>ratio</t>
        </is>
      </c>
      <c r="E123" s="121" t="inlineStr">
        <is>
          <t>Input</t>
        </is>
      </c>
      <c r="F123" s="123" t="inlineStr"/>
      <c r="G123" s="138" t="n">
        <v>1</v>
      </c>
      <c r="H123" s="138" t="n">
        <v>1</v>
      </c>
      <c r="I123" s="138" t="n">
        <v>1</v>
      </c>
      <c r="J123" s="138" t="n">
        <v>1</v>
      </c>
      <c r="K123" s="138" t="n">
        <v>1</v>
      </c>
      <c r="L123" s="138" t="n">
        <v>1</v>
      </c>
      <c r="M123" s="138" t="n">
        <v>1</v>
      </c>
      <c r="N123" s="138" t="n">
        <v>1</v>
      </c>
      <c r="O123" s="138" t="n">
        <v>1</v>
      </c>
      <c r="P123" s="138" t="n">
        <v>1</v>
      </c>
      <c r="Q123" s="138" t="n">
        <v>1</v>
      </c>
      <c r="R123" s="138" t="n">
        <v>1</v>
      </c>
      <c r="S123" s="138" t="n">
        <v>1</v>
      </c>
      <c r="T123" s="138" t="n">
        <v>1</v>
      </c>
      <c r="U123" s="138" t="n">
        <v>1</v>
      </c>
      <c r="V123" s="138" t="n">
        <v>1</v>
      </c>
      <c r="W123" s="138" t="n">
        <v>1</v>
      </c>
      <c r="X123" s="138" t="n">
        <v>1</v>
      </c>
      <c r="Y123" s="138" t="n">
        <v>1</v>
      </c>
      <c r="Z123" s="138" t="n">
        <v>1</v>
      </c>
      <c r="AA123" s="138" t="n">
        <v>1</v>
      </c>
      <c r="AB123" s="138" t="n">
        <v>1</v>
      </c>
    </row>
    <row r="124" ht="15" customHeight="1">
      <c r="A124" s="121" t="inlineStr">
        <is>
          <t>Economic, working capital and currency</t>
        </is>
      </c>
      <c r="B124" s="122" t="inlineStr">
        <is>
          <t>Base Local CPI - 2028</t>
        </is>
      </c>
      <c r="C124" s="121" t="inlineStr">
        <is>
          <t>J48</t>
        </is>
      </c>
      <c r="D124" s="121" t="inlineStr">
        <is>
          <t>index</t>
        </is>
      </c>
      <c r="E124" s="121" t="inlineStr">
        <is>
          <t>Input</t>
        </is>
      </c>
      <c r="F124" s="123" t="inlineStr"/>
      <c r="G124" s="125" t="n">
        <v>160</v>
      </c>
      <c r="H124" s="125" t="n">
        <v>160</v>
      </c>
      <c r="I124" s="125" t="n">
        <v>160</v>
      </c>
      <c r="J124" s="125" t="n">
        <v>160</v>
      </c>
      <c r="K124" s="125" t="n">
        <v>160</v>
      </c>
      <c r="L124" s="125" t="n">
        <v>160</v>
      </c>
      <c r="M124" s="125" t="n">
        <v>160</v>
      </c>
      <c r="N124" s="125" t="n">
        <v>160</v>
      </c>
      <c r="O124" s="125" t="n">
        <v>160</v>
      </c>
      <c r="P124" s="125" t="n">
        <v>160</v>
      </c>
      <c r="Q124" s="125" t="n">
        <v>160</v>
      </c>
      <c r="R124" s="125" t="n">
        <v>160</v>
      </c>
      <c r="S124" s="125" t="n">
        <v>160</v>
      </c>
      <c r="T124" s="125" t="n">
        <v>160</v>
      </c>
      <c r="U124" s="125" t="n">
        <v>160</v>
      </c>
      <c r="V124" s="125" t="n">
        <v>160</v>
      </c>
      <c r="W124" s="125" t="n">
        <v>160</v>
      </c>
      <c r="X124" s="125" t="n">
        <v>160</v>
      </c>
      <c r="Y124" s="125" t="n">
        <v>160</v>
      </c>
      <c r="Z124" s="125" t="n">
        <v>160</v>
      </c>
      <c r="AA124" s="125" t="n">
        <v>160</v>
      </c>
      <c r="AB124" s="125" t="n">
        <v>160</v>
      </c>
    </row>
    <row r="125" ht="15" customHeight="1">
      <c r="A125" s="121" t="inlineStr">
        <is>
          <t>Economic, working capital and currency</t>
        </is>
      </c>
      <c r="B125" s="122" t="inlineStr">
        <is>
          <t>Annual Local CPI - for OPEX</t>
        </is>
      </c>
      <c r="C125" s="121" t="inlineStr">
        <is>
          <t>J49</t>
        </is>
      </c>
      <c r="D125" s="121" t="inlineStr">
        <is>
          <t>% p.a.</t>
        </is>
      </c>
      <c r="E125" s="121" t="inlineStr">
        <is>
          <t>Input</t>
        </is>
      </c>
      <c r="F125" s="123" t="inlineStr">
        <is>
          <t>0%: real terms; the GAT Price is not indexed (GAIR 8.9).</t>
        </is>
      </c>
      <c r="G125" s="127" t="n">
        <v>0</v>
      </c>
      <c r="H125" s="127" t="n">
        <v>0</v>
      </c>
      <c r="I125" s="127" t="n">
        <v>0</v>
      </c>
      <c r="J125" s="127" t="n">
        <v>0</v>
      </c>
      <c r="K125" s="127" t="n">
        <v>0</v>
      </c>
      <c r="L125" s="127" t="n">
        <v>0</v>
      </c>
      <c r="M125" s="127" t="n">
        <v>0</v>
      </c>
      <c r="N125" s="127" t="n">
        <v>0</v>
      </c>
      <c r="O125" s="127" t="n">
        <v>0</v>
      </c>
      <c r="P125" s="127" t="n">
        <v>0</v>
      </c>
      <c r="Q125" s="127" t="n">
        <v>0</v>
      </c>
      <c r="R125" s="127" t="n">
        <v>0</v>
      </c>
      <c r="S125" s="127" t="n">
        <v>0</v>
      </c>
      <c r="T125" s="127" t="n">
        <v>0</v>
      </c>
      <c r="U125" s="127" t="n">
        <v>0</v>
      </c>
      <c r="V125" s="127" t="n">
        <v>0</v>
      </c>
      <c r="W125" s="127" t="n">
        <v>0</v>
      </c>
      <c r="X125" s="127" t="n">
        <v>0</v>
      </c>
      <c r="Y125" s="127" t="n">
        <v>0</v>
      </c>
      <c r="Z125" s="127" t="n">
        <v>0</v>
      </c>
      <c r="AA125" s="127" t="n">
        <v>0</v>
      </c>
      <c r="AB125" s="127" t="n">
        <v>0</v>
      </c>
    </row>
    <row r="126" ht="15" customHeight="1">
      <c r="A126" s="121" t="inlineStr">
        <is>
          <t>Economic, working capital and currency</t>
        </is>
      </c>
      <c r="B126" s="122" t="inlineStr">
        <is>
          <t>Annual US CPI - for OPEX</t>
        </is>
      </c>
      <c r="C126" s="121" t="inlineStr">
        <is>
          <t>J50</t>
        </is>
      </c>
      <c r="D126" s="121" t="inlineStr">
        <is>
          <t>% p.a.</t>
        </is>
      </c>
      <c r="E126" s="121" t="inlineStr">
        <is>
          <t>Input</t>
        </is>
      </c>
      <c r="F126" s="123" t="inlineStr"/>
      <c r="G126" s="127" t="n">
        <v>0</v>
      </c>
      <c r="H126" s="127" t="n">
        <v>0</v>
      </c>
      <c r="I126" s="127" t="n">
        <v>0</v>
      </c>
      <c r="J126" s="127" t="n">
        <v>0</v>
      </c>
      <c r="K126" s="127" t="n">
        <v>0</v>
      </c>
      <c r="L126" s="127" t="n">
        <v>0</v>
      </c>
      <c r="M126" s="127" t="n">
        <v>0</v>
      </c>
      <c r="N126" s="127" t="n">
        <v>0</v>
      </c>
      <c r="O126" s="127" t="n">
        <v>0</v>
      </c>
      <c r="P126" s="127" t="n">
        <v>0</v>
      </c>
      <c r="Q126" s="127" t="n">
        <v>0</v>
      </c>
      <c r="R126" s="127" t="n">
        <v>0</v>
      </c>
      <c r="S126" s="127" t="n">
        <v>0</v>
      </c>
      <c r="T126" s="127" t="n">
        <v>0</v>
      </c>
      <c r="U126" s="127" t="n">
        <v>0</v>
      </c>
      <c r="V126" s="127" t="n">
        <v>0</v>
      </c>
      <c r="W126" s="127" t="n">
        <v>0</v>
      </c>
      <c r="X126" s="127" t="n">
        <v>0</v>
      </c>
      <c r="Y126" s="127" t="n">
        <v>0</v>
      </c>
      <c r="Z126" s="127" t="n">
        <v>0</v>
      </c>
      <c r="AA126" s="127" t="n">
        <v>0</v>
      </c>
      <c r="AB126" s="127" t="n">
        <v>0</v>
      </c>
    </row>
    <row r="127" ht="15" customHeight="1">
      <c r="A127" s="121" t="inlineStr">
        <is>
          <t>Economic, working capital and currency</t>
        </is>
      </c>
      <c r="B127" s="122" t="inlineStr">
        <is>
          <t>Annual Peso Depreciation Rate</t>
        </is>
      </c>
      <c r="C127" s="121" t="inlineStr">
        <is>
          <t>J51</t>
        </is>
      </c>
      <c r="D127" s="121" t="inlineStr">
        <is>
          <t>% p.a.</t>
        </is>
      </c>
      <c r="E127" s="121" t="inlineStr">
        <is>
          <t>Calculated</t>
        </is>
      </c>
      <c r="F127" s="123" t="inlineStr"/>
      <c r="G127" s="128" t="n">
        <v>0</v>
      </c>
      <c r="H127" s="128" t="n">
        <v>0</v>
      </c>
      <c r="I127" s="128" t="n">
        <v>0</v>
      </c>
      <c r="J127" s="128" t="n">
        <v>0</v>
      </c>
      <c r="K127" s="128" t="n">
        <v>0</v>
      </c>
      <c r="L127" s="128" t="n">
        <v>0</v>
      </c>
      <c r="M127" s="128" t="n">
        <v>0</v>
      </c>
      <c r="N127" s="128" t="n">
        <v>0</v>
      </c>
      <c r="O127" s="128" t="n">
        <v>0</v>
      </c>
      <c r="P127" s="128" t="n">
        <v>0</v>
      </c>
      <c r="Q127" s="128" t="n">
        <v>0</v>
      </c>
      <c r="R127" s="128" t="n">
        <v>0</v>
      </c>
      <c r="S127" s="128" t="n">
        <v>0</v>
      </c>
      <c r="T127" s="128" t="n">
        <v>0</v>
      </c>
      <c r="U127" s="128" t="n">
        <v>0</v>
      </c>
      <c r="V127" s="128" t="n">
        <v>0</v>
      </c>
      <c r="W127" s="128" t="n">
        <v>0</v>
      </c>
      <c r="X127" s="128" t="n">
        <v>0</v>
      </c>
      <c r="Y127" s="128" t="n">
        <v>0</v>
      </c>
      <c r="Z127" s="128" t="n">
        <v>0</v>
      </c>
      <c r="AA127" s="128" t="n">
        <v>0</v>
      </c>
      <c r="AB127" s="128" t="n">
        <v>0</v>
      </c>
    </row>
    <row r="128" ht="24" customHeight="1">
      <c r="A128" s="121" t="inlineStr">
        <is>
          <t>Economic, working capital and currency</t>
        </is>
      </c>
      <c r="B128" s="122" t="inlineStr">
        <is>
          <t>Days Receivable, Payable and Inventory</t>
        </is>
      </c>
      <c r="C128" s="121" t="inlineStr">
        <is>
          <t>F48</t>
        </is>
      </c>
      <c r="D128" s="121" t="inlineStr">
        <is>
          <t>days</t>
        </is>
      </c>
      <c r="E128" s="121" t="inlineStr">
        <is>
          <t>Input</t>
        </is>
      </c>
      <c r="F128" s="123" t="inlineStr">
        <is>
          <t>naruto / ERC Mid-Merit Financial Model default (ADV model reviewed 9 Oct 2026); unchanged across cases.</t>
        </is>
      </c>
      <c r="G128" s="125" t="n">
        <v>30</v>
      </c>
      <c r="H128" s="125" t="n">
        <v>30</v>
      </c>
      <c r="I128" s="125" t="n">
        <v>30</v>
      </c>
      <c r="J128" s="125" t="n">
        <v>30</v>
      </c>
      <c r="K128" s="125" t="n">
        <v>30</v>
      </c>
      <c r="L128" s="125" t="n">
        <v>30</v>
      </c>
      <c r="M128" s="125" t="n">
        <v>30</v>
      </c>
      <c r="N128" s="125" t="n">
        <v>30</v>
      </c>
      <c r="O128" s="125" t="n">
        <v>30</v>
      </c>
      <c r="P128" s="125" t="n">
        <v>30</v>
      </c>
      <c r="Q128" s="125" t="n">
        <v>30</v>
      </c>
      <c r="R128" s="125" t="n">
        <v>30</v>
      </c>
      <c r="S128" s="125" t="n">
        <v>30</v>
      </c>
      <c r="T128" s="125" t="n">
        <v>30</v>
      </c>
      <c r="U128" s="125" t="n">
        <v>30</v>
      </c>
      <c r="V128" s="125" t="n">
        <v>30</v>
      </c>
      <c r="W128" s="125" t="n">
        <v>30</v>
      </c>
      <c r="X128" s="125" t="n">
        <v>30</v>
      </c>
      <c r="Y128" s="125" t="n">
        <v>30</v>
      </c>
      <c r="Z128" s="125" t="n">
        <v>30</v>
      </c>
      <c r="AA128" s="125" t="n">
        <v>30</v>
      </c>
      <c r="AB128" s="125" t="n">
        <v>30</v>
      </c>
    </row>
    <row r="129" ht="15" customHeight="1">
      <c r="A129" s="121" t="inlineStr">
        <is>
          <t>Economic, working capital and currency</t>
        </is>
      </c>
      <c r="B129" s="122" t="inlineStr">
        <is>
          <t>PhP per USD exchange rate [A.16]</t>
        </is>
      </c>
      <c r="C129" s="121" t="inlineStr">
        <is>
          <t>C89</t>
        </is>
      </c>
      <c r="D129" s="121" t="inlineStr">
        <is>
          <t>PhP/US$</t>
        </is>
      </c>
      <c r="E129" s="121" t="inlineStr">
        <is>
          <t>Input</t>
        </is>
      </c>
      <c r="F129" s="123" t="inlineStr">
        <is>
          <t>BSP reference rate, 25 Sep 2026 (whisper/scripts/cases.py).</t>
        </is>
      </c>
      <c r="G129" s="143" t="n">
        <v>62.756</v>
      </c>
      <c r="H129" s="143" t="n">
        <v>62.756</v>
      </c>
      <c r="I129" s="143" t="n">
        <v>62.756</v>
      </c>
      <c r="J129" s="143" t="n">
        <v>62.756</v>
      </c>
      <c r="K129" s="143" t="n">
        <v>62.756</v>
      </c>
      <c r="L129" s="143" t="n">
        <v>62.756</v>
      </c>
      <c r="M129" s="143" t="n">
        <v>62.756</v>
      </c>
      <c r="N129" s="143" t="n">
        <v>62.756</v>
      </c>
      <c r="O129" s="143" t="n">
        <v>62.756</v>
      </c>
      <c r="P129" s="143" t="n">
        <v>62.756</v>
      </c>
      <c r="Q129" s="143" t="n">
        <v>62.756</v>
      </c>
      <c r="R129" s="143" t="n">
        <v>62.756</v>
      </c>
      <c r="S129" s="143" t="n">
        <v>62.756</v>
      </c>
      <c r="T129" s="143" t="n">
        <v>62.756</v>
      </c>
      <c r="U129" s="143" t="n">
        <v>62.756</v>
      </c>
      <c r="V129" s="143" t="n">
        <v>62.756</v>
      </c>
      <c r="W129" s="143" t="n">
        <v>62.756</v>
      </c>
      <c r="X129" s="143" t="n">
        <v>62.756</v>
      </c>
      <c r="Y129" s="143" t="n">
        <v>62.756</v>
      </c>
      <c r="Z129" s="143" t="n">
        <v>62.756</v>
      </c>
      <c r="AA129" s="143" t="n">
        <v>62.756</v>
      </c>
      <c r="AB129" s="143" t="n">
        <v>62.756</v>
      </c>
    </row>
    <row r="130" ht="15" customHeight="1">
      <c r="A130" s="121" t="inlineStr">
        <is>
          <t>Economic, working capital and currency</t>
        </is>
      </c>
      <c r="B130" s="122" t="inlineStr">
        <is>
          <t>ER 1-94 benefit, PhP/kWh [8.8.3]</t>
        </is>
      </c>
      <c r="C130" s="121" t="inlineStr">
        <is>
          <t>C90</t>
        </is>
      </c>
      <c r="D130" s="121" t="inlineStr">
        <is>
          <t>PhP/kWh</t>
        </is>
      </c>
      <c r="E130" s="121" t="inlineStr">
        <is>
          <t>Input</t>
        </is>
      </c>
      <c r="F130" s="123" t="inlineStr">
        <is>
          <t>PhP 0.03/kWh, DOE DC2025-10-0023 (GAIR 8.8.3).</t>
        </is>
      </c>
      <c r="G130" s="138" t="n">
        <v>0.03</v>
      </c>
      <c r="H130" s="138" t="n">
        <v>0.03</v>
      </c>
      <c r="I130" s="138" t="n">
        <v>0.03</v>
      </c>
      <c r="J130" s="138" t="n">
        <v>0.03</v>
      </c>
      <c r="K130" s="138" t="n">
        <v>0.03</v>
      </c>
      <c r="L130" s="138" t="n">
        <v>0.03</v>
      </c>
      <c r="M130" s="138" t="n">
        <v>0.03</v>
      </c>
      <c r="N130" s="138" t="n">
        <v>0.03</v>
      </c>
      <c r="O130" s="138" t="n">
        <v>0.03</v>
      </c>
      <c r="P130" s="138" t="n">
        <v>0.03</v>
      </c>
      <c r="Q130" s="138" t="n">
        <v>0.03</v>
      </c>
      <c r="R130" s="138" t="n">
        <v>0.03</v>
      </c>
      <c r="S130" s="138" t="n">
        <v>0.03</v>
      </c>
      <c r="T130" s="138" t="n">
        <v>0.03</v>
      </c>
      <c r="U130" s="138" t="n">
        <v>0.03</v>
      </c>
      <c r="V130" s="138" t="n">
        <v>0.03</v>
      </c>
      <c r="W130" s="138" t="n">
        <v>0.03</v>
      </c>
      <c r="X130" s="138" t="n">
        <v>0.03</v>
      </c>
      <c r="Y130" s="138" t="n">
        <v>0.03</v>
      </c>
      <c r="Z130" s="138" t="n">
        <v>0.03</v>
      </c>
      <c r="AA130" s="138" t="n">
        <v>0.03</v>
      </c>
      <c r="AB130" s="138" t="n">
        <v>0.03</v>
      </c>
    </row>
    <row r="131" ht="15" customHeight="1">
      <c r="A131" s="121" t="inlineStr">
        <is>
          <t>Economic, working capital and currency</t>
        </is>
      </c>
      <c r="B131" s="122" t="inlineStr">
        <is>
          <t>Salvage received in last year (1 = yes) [8.8.7]</t>
        </is>
      </c>
      <c r="C131" s="121" t="inlineStr">
        <is>
          <t>C91</t>
        </is>
      </c>
      <c r="D131" s="121" t="inlineStr">
        <is>
          <t>1 = yes</t>
        </is>
      </c>
      <c r="E131" s="121" t="inlineStr">
        <is>
          <t>Input</t>
        </is>
      </c>
      <c r="F131" s="123" t="inlineStr"/>
      <c r="G131" s="125" t="n">
        <v>1</v>
      </c>
      <c r="H131" s="125" t="n">
        <v>1</v>
      </c>
      <c r="I131" s="125" t="n">
        <v>1</v>
      </c>
      <c r="J131" s="125" t="n">
        <v>1</v>
      </c>
      <c r="K131" s="125" t="n">
        <v>1</v>
      </c>
      <c r="L131" s="125" t="n">
        <v>1</v>
      </c>
      <c r="M131" s="125" t="n">
        <v>1</v>
      </c>
      <c r="N131" s="125" t="n">
        <v>1</v>
      </c>
      <c r="O131" s="125" t="n">
        <v>1</v>
      </c>
      <c r="P131" s="125" t="n">
        <v>1</v>
      </c>
      <c r="Q131" s="125" t="n">
        <v>1</v>
      </c>
      <c r="R131" s="125" t="n">
        <v>1</v>
      </c>
      <c r="S131" s="125" t="n">
        <v>1</v>
      </c>
      <c r="T131" s="125" t="n">
        <v>1</v>
      </c>
      <c r="U131" s="125" t="n">
        <v>1</v>
      </c>
      <c r="V131" s="125" t="n">
        <v>1</v>
      </c>
      <c r="W131" s="125" t="n">
        <v>1</v>
      </c>
      <c r="X131" s="125" t="n">
        <v>1</v>
      </c>
      <c r="Y131" s="125" t="n">
        <v>1</v>
      </c>
      <c r="Z131" s="125" t="n">
        <v>1</v>
      </c>
      <c r="AA131" s="125" t="n">
        <v>1</v>
      </c>
      <c r="AB131" s="125" t="n">
        <v>1</v>
      </c>
    </row>
    <row r="133">
      <c r="A133" s="119" t="inlineStr">
        <is>
          <t>9. Fuel and technical (outside the GAT Price)</t>
        </is>
      </c>
      <c r="B133" s="120" t="n"/>
      <c r="C133" s="120" t="n"/>
      <c r="D133" s="120" t="n"/>
      <c r="E133" s="120" t="n"/>
      <c r="F133" s="120"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c r="AA133" s="120" t="n"/>
      <c r="AB133" s="120" t="n"/>
    </row>
    <row r="134" ht="24" customHeight="1">
      <c r="A134" s="121" t="inlineStr">
        <is>
          <t>Fuel and technical</t>
        </is>
      </c>
      <c r="B134" s="122" t="inlineStr">
        <is>
          <t>Fuel switch (fuel is outside the GAT Price) [8.6]</t>
        </is>
      </c>
      <c r="C134" s="121" t="inlineStr">
        <is>
          <t>F42</t>
        </is>
      </c>
      <c r="D134" s="121" t="inlineStr">
        <is>
          <t>switch</t>
        </is>
      </c>
      <c r="E134" s="121" t="inlineStr">
        <is>
          <t>Input</t>
        </is>
      </c>
      <c r="F134" s="123" t="inlineStr"/>
      <c r="G134" s="125" t="n">
        <v>0</v>
      </c>
      <c r="H134" s="125" t="n">
        <v>0</v>
      </c>
      <c r="I134" s="125" t="n">
        <v>0</v>
      </c>
      <c r="J134" s="125" t="n">
        <v>0</v>
      </c>
      <c r="K134" s="125" t="n">
        <v>0</v>
      </c>
      <c r="L134" s="125" t="n">
        <v>0</v>
      </c>
      <c r="M134" s="125" t="n">
        <v>0</v>
      </c>
      <c r="N134" s="125" t="n">
        <v>0</v>
      </c>
      <c r="O134" s="125" t="n">
        <v>0</v>
      </c>
      <c r="P134" s="125" t="n">
        <v>0</v>
      </c>
      <c r="Q134" s="125" t="n">
        <v>0</v>
      </c>
      <c r="R134" s="125" t="n">
        <v>0</v>
      </c>
      <c r="S134" s="125" t="n">
        <v>0</v>
      </c>
      <c r="T134" s="125" t="n">
        <v>0</v>
      </c>
      <c r="U134" s="125" t="n">
        <v>0</v>
      </c>
      <c r="V134" s="125" t="n">
        <v>0</v>
      </c>
      <c r="W134" s="125" t="n">
        <v>0</v>
      </c>
      <c r="X134" s="125" t="n">
        <v>0</v>
      </c>
      <c r="Y134" s="125" t="n">
        <v>0</v>
      </c>
      <c r="Z134" s="125" t="n">
        <v>0</v>
      </c>
      <c r="AA134" s="125" t="n">
        <v>0</v>
      </c>
      <c r="AB134" s="125" t="n">
        <v>0</v>
      </c>
    </row>
    <row r="135" ht="15" customHeight="1">
      <c r="A135" s="121" t="inlineStr">
        <is>
          <t>Fuel and technical</t>
        </is>
      </c>
      <c r="B135" s="122" t="inlineStr">
        <is>
          <t>Gross Heating Value</t>
        </is>
      </c>
      <c r="C135" s="121" t="inlineStr">
        <is>
          <t>F53</t>
        </is>
      </c>
      <c r="D135" s="121" t="inlineStr">
        <is>
          <t>Btu/lb</t>
        </is>
      </c>
      <c r="E135" s="121" t="inlineStr">
        <is>
          <t>Input</t>
        </is>
      </c>
      <c r="F135" s="123" t="inlineStr"/>
      <c r="G135" s="130" t="n">
        <v>22129</v>
      </c>
      <c r="H135" s="130" t="n">
        <v>22129</v>
      </c>
      <c r="I135" s="130" t="n">
        <v>22129</v>
      </c>
      <c r="J135" s="130" t="n">
        <v>22129</v>
      </c>
      <c r="K135" s="130" t="n">
        <v>22129</v>
      </c>
      <c r="L135" s="130" t="n">
        <v>22129</v>
      </c>
      <c r="M135" s="130" t="n">
        <v>22129</v>
      </c>
      <c r="N135" s="130" t="n">
        <v>22129</v>
      </c>
      <c r="O135" s="130" t="n">
        <v>22129</v>
      </c>
      <c r="P135" s="130" t="n">
        <v>22129</v>
      </c>
      <c r="Q135" s="130" t="n">
        <v>22129</v>
      </c>
      <c r="R135" s="130" t="n">
        <v>22129</v>
      </c>
      <c r="S135" s="130" t="n">
        <v>22129</v>
      </c>
      <c r="T135" s="130" t="n">
        <v>22129</v>
      </c>
      <c r="U135" s="130" t="n">
        <v>22129</v>
      </c>
      <c r="V135" s="130" t="n">
        <v>22129</v>
      </c>
      <c r="W135" s="130" t="n">
        <v>22129</v>
      </c>
      <c r="X135" s="130" t="n">
        <v>22129</v>
      </c>
      <c r="Y135" s="130" t="n">
        <v>22129</v>
      </c>
      <c r="Z135" s="130" t="n">
        <v>22129</v>
      </c>
      <c r="AA135" s="130" t="n">
        <v>22129</v>
      </c>
      <c r="AB135" s="130" t="n">
        <v>22129</v>
      </c>
    </row>
    <row r="136" ht="15" customHeight="1">
      <c r="A136" s="121" t="inlineStr">
        <is>
          <t>Fuel and technical</t>
        </is>
      </c>
      <c r="B136" s="122" t="inlineStr">
        <is>
          <t>Plant Thermal Efficiency, %</t>
        </is>
      </c>
      <c r="C136" s="121" t="inlineStr">
        <is>
          <t>F57</t>
        </is>
      </c>
      <c r="D136" s="121" t="inlineStr">
        <is>
          <t>%</t>
        </is>
      </c>
      <c r="E136" s="121" t="inlineStr">
        <is>
          <t>Calculated</t>
        </is>
      </c>
      <c r="F136" s="123" t="inlineStr"/>
      <c r="G136" s="128" t="n">
        <v>0.5373430268025209</v>
      </c>
      <c r="H136" s="128" t="n">
        <v>0.5373430268025209</v>
      </c>
      <c r="I136" s="128" t="n">
        <v>0.5593652819993455</v>
      </c>
      <c r="J136" s="128" t="n">
        <v>0.3481763489995926</v>
      </c>
      <c r="K136" s="128" t="n">
        <v>0.426516027524501</v>
      </c>
      <c r="L136" s="128" t="n">
        <v>0.5593652819993455</v>
      </c>
      <c r="M136" s="128" t="n">
        <v>0.3481763489995926</v>
      </c>
      <c r="N136" s="128" t="n">
        <v>0.426516027524501</v>
      </c>
      <c r="O136" s="128" t="n">
        <v>0.5593652819993455</v>
      </c>
      <c r="P136" s="128" t="n">
        <v>0.3481763489995926</v>
      </c>
      <c r="Q136" s="128" t="n">
        <v>0.426516027524501</v>
      </c>
      <c r="R136" s="128" t="n">
        <v>0.5373430268025209</v>
      </c>
      <c r="S136" s="128" t="n">
        <v>0.5373430268025209</v>
      </c>
      <c r="T136" s="128" t="n">
        <v>0.5593652819993455</v>
      </c>
      <c r="U136" s="128" t="n">
        <v>0.3481763489995926</v>
      </c>
      <c r="V136" s="128" t="n">
        <v>0.426516027524501</v>
      </c>
      <c r="W136" s="128" t="n">
        <v>0.5593652819993455</v>
      </c>
      <c r="X136" s="128" t="n">
        <v>0.3481763489995926</v>
      </c>
      <c r="Y136" s="128" t="n">
        <v>0.426516027524501</v>
      </c>
      <c r="Z136" s="128" t="n">
        <v>0.5593652819993455</v>
      </c>
      <c r="AA136" s="128" t="n">
        <v>0.3481763489995926</v>
      </c>
      <c r="AB136" s="128" t="n">
        <v>0.426516027524501</v>
      </c>
    </row>
    <row r="137" ht="15" customHeight="1">
      <c r="A137" s="121" t="inlineStr">
        <is>
          <t>Fuel and technical</t>
        </is>
      </c>
      <c r="B137" s="122" t="inlineStr">
        <is>
          <t>Plant Heat Rate [A.15 cap]</t>
        </is>
      </c>
      <c r="C137" s="121" t="inlineStr">
        <is>
          <t>F58</t>
        </is>
      </c>
      <c r="D137" s="121" t="inlineStr">
        <is>
          <t>kJ/kWh</t>
        </is>
      </c>
      <c r="E137" s="121" t="inlineStr">
        <is>
          <t>Calculated</t>
        </is>
      </c>
      <c r="F137" s="123" t="inlineStr"/>
      <c r="G137" s="126" t="n">
        <v>3600</v>
      </c>
      <c r="H137" s="126" t="n">
        <v>3600</v>
      </c>
      <c r="I137" s="126" t="n">
        <v>3600</v>
      </c>
      <c r="J137" s="126" t="n">
        <v>3600</v>
      </c>
      <c r="K137" s="126" t="n">
        <v>3600</v>
      </c>
      <c r="L137" s="126" t="n">
        <v>3600</v>
      </c>
      <c r="M137" s="126" t="n">
        <v>3600</v>
      </c>
      <c r="N137" s="126" t="n">
        <v>3600</v>
      </c>
      <c r="O137" s="126" t="n">
        <v>3600</v>
      </c>
      <c r="P137" s="126" t="n">
        <v>3600</v>
      </c>
      <c r="Q137" s="126" t="n">
        <v>3600</v>
      </c>
      <c r="R137" s="126" t="n">
        <v>3600</v>
      </c>
      <c r="S137" s="126" t="n">
        <v>3600</v>
      </c>
      <c r="T137" s="126" t="n">
        <v>3600</v>
      </c>
      <c r="U137" s="126" t="n">
        <v>3600</v>
      </c>
      <c r="V137" s="126" t="n">
        <v>3600</v>
      </c>
      <c r="W137" s="126" t="n">
        <v>3600</v>
      </c>
      <c r="X137" s="126" t="n">
        <v>3600</v>
      </c>
      <c r="Y137" s="126" t="n">
        <v>3600</v>
      </c>
      <c r="Z137" s="126" t="n">
        <v>3600</v>
      </c>
      <c r="AA137" s="126" t="n">
        <v>3600</v>
      </c>
      <c r="AB137" s="126" t="n">
        <v>3600</v>
      </c>
    </row>
    <row r="138" ht="15" customHeight="1">
      <c r="A138" s="121" t="inlineStr">
        <is>
          <t>Fuel and technical</t>
        </is>
      </c>
      <c r="B138" s="122" t="inlineStr">
        <is>
          <t>Fuel Rate</t>
        </is>
      </c>
      <c r="C138" s="121" t="inlineStr">
        <is>
          <t>F62</t>
        </is>
      </c>
      <c r="D138" s="121" t="inlineStr">
        <is>
          <t>kWh/MT</t>
        </is>
      </c>
      <c r="E138" s="121" t="inlineStr">
        <is>
          <t>Calculated</t>
        </is>
      </c>
      <c r="F138" s="123" t="inlineStr"/>
      <c r="G138" s="126" t="n">
        <v>7682.77061417323</v>
      </c>
      <c r="H138" s="126" t="n">
        <v>7682.77061417323</v>
      </c>
      <c r="I138" s="126" t="n">
        <v>7997.638262295083</v>
      </c>
      <c r="J138" s="126" t="n">
        <v>4978.121775510204</v>
      </c>
      <c r="K138" s="126" t="n">
        <v>6098.199175000001</v>
      </c>
      <c r="L138" s="126" t="n">
        <v>7997.638262295083</v>
      </c>
      <c r="M138" s="126" t="n">
        <v>4978.121775510204</v>
      </c>
      <c r="N138" s="126" t="n">
        <v>6098.199175000001</v>
      </c>
      <c r="O138" s="126" t="n">
        <v>7997.638262295083</v>
      </c>
      <c r="P138" s="126" t="n">
        <v>4978.121775510204</v>
      </c>
      <c r="Q138" s="126" t="n">
        <v>6098.199175000001</v>
      </c>
      <c r="R138" s="126" t="n">
        <v>7682.77061417323</v>
      </c>
      <c r="S138" s="126" t="n">
        <v>7682.77061417323</v>
      </c>
      <c r="T138" s="126" t="n">
        <v>7997.638262295083</v>
      </c>
      <c r="U138" s="126" t="n">
        <v>4978.121775510204</v>
      </c>
      <c r="V138" s="126" t="n">
        <v>6098.199175000001</v>
      </c>
      <c r="W138" s="126" t="n">
        <v>7997.638262295083</v>
      </c>
      <c r="X138" s="126" t="n">
        <v>4978.121775510204</v>
      </c>
      <c r="Y138" s="126" t="n">
        <v>6098.199175000001</v>
      </c>
      <c r="Z138" s="126" t="n">
        <v>7997.638262295083</v>
      </c>
      <c r="AA138" s="126" t="n">
        <v>4978.121775510204</v>
      </c>
      <c r="AB138" s="126" t="n">
        <v>6098.199175000001</v>
      </c>
    </row>
    <row r="139" ht="15" customHeight="1">
      <c r="A139" s="121" t="inlineStr">
        <is>
          <t>Fuel and technical</t>
        </is>
      </c>
      <c r="B139" s="122" t="inlineStr">
        <is>
          <t>Lube oil density</t>
        </is>
      </c>
      <c r="C139" s="121" t="inlineStr">
        <is>
          <t>F68</t>
        </is>
      </c>
      <c r="D139" s="121" t="inlineStr">
        <is>
          <t>kg/L</t>
        </is>
      </c>
      <c r="E139" s="121" t="inlineStr">
        <is>
          <t>Input</t>
        </is>
      </c>
      <c r="F139" s="123" t="inlineStr"/>
      <c r="G139" s="138" t="n">
        <v>0.98</v>
      </c>
      <c r="H139" s="138" t="n">
        <v>0.98</v>
      </c>
      <c r="I139" s="138" t="n">
        <v>0.98</v>
      </c>
      <c r="J139" s="138" t="n">
        <v>0.98</v>
      </c>
      <c r="K139" s="138" t="n">
        <v>0.98</v>
      </c>
      <c r="L139" s="138" t="n">
        <v>0.98</v>
      </c>
      <c r="M139" s="138" t="n">
        <v>0.98</v>
      </c>
      <c r="N139" s="138" t="n">
        <v>0.98</v>
      </c>
      <c r="O139" s="138" t="n">
        <v>0.98</v>
      </c>
      <c r="P139" s="138" t="n">
        <v>0.98</v>
      </c>
      <c r="Q139" s="138" t="n">
        <v>0.98</v>
      </c>
      <c r="R139" s="138" t="n">
        <v>0.98</v>
      </c>
      <c r="S139" s="138" t="n">
        <v>0.98</v>
      </c>
      <c r="T139" s="138" t="n">
        <v>0.98</v>
      </c>
      <c r="U139" s="138" t="n">
        <v>0.98</v>
      </c>
      <c r="V139" s="138" t="n">
        <v>0.98</v>
      </c>
      <c r="W139" s="138" t="n">
        <v>0.98</v>
      </c>
      <c r="X139" s="138" t="n">
        <v>0.98</v>
      </c>
      <c r="Y139" s="138" t="n">
        <v>0.98</v>
      </c>
      <c r="Z139" s="138" t="n">
        <v>0.98</v>
      </c>
      <c r="AA139" s="138" t="n">
        <v>0.98</v>
      </c>
      <c r="AB139" s="138" t="n">
        <v>0.98</v>
      </c>
    </row>
    <row r="140" ht="15" customHeight="1">
      <c r="A140" s="121" t="inlineStr">
        <is>
          <t>Fuel and technical</t>
        </is>
      </c>
      <c r="B140" s="122" t="inlineStr">
        <is>
          <t>Specific lube oil consumption</t>
        </is>
      </c>
      <c r="C140" s="121" t="inlineStr">
        <is>
          <t>F69</t>
        </is>
      </c>
      <c r="D140" s="121" t="inlineStr">
        <is>
          <t>g/kWh</t>
        </is>
      </c>
      <c r="E140" s="121" t="inlineStr">
        <is>
          <t>Input</t>
        </is>
      </c>
      <c r="F140" s="123" t="inlineStr"/>
      <c r="G140" s="144" t="n">
        <v>5.4</v>
      </c>
      <c r="H140" s="144" t="n">
        <v>5.4</v>
      </c>
      <c r="I140" s="144" t="n">
        <v>5.4</v>
      </c>
      <c r="J140" s="144" t="n">
        <v>5.4</v>
      </c>
      <c r="K140" s="144" t="n">
        <v>5.4</v>
      </c>
      <c r="L140" s="144" t="n">
        <v>5.4</v>
      </c>
      <c r="M140" s="144" t="n">
        <v>5.4</v>
      </c>
      <c r="N140" s="144" t="n">
        <v>5.4</v>
      </c>
      <c r="O140" s="144" t="n">
        <v>5.4</v>
      </c>
      <c r="P140" s="144" t="n">
        <v>5.4</v>
      </c>
      <c r="Q140" s="144" t="n">
        <v>5.4</v>
      </c>
      <c r="R140" s="144" t="n">
        <v>5.4</v>
      </c>
      <c r="S140" s="144" t="n">
        <v>5.4</v>
      </c>
      <c r="T140" s="144" t="n">
        <v>5.4</v>
      </c>
      <c r="U140" s="144" t="n">
        <v>5.4</v>
      </c>
      <c r="V140" s="144" t="n">
        <v>5.4</v>
      </c>
      <c r="W140" s="144" t="n">
        <v>5.4</v>
      </c>
      <c r="X140" s="144" t="n">
        <v>5.4</v>
      </c>
      <c r="Y140" s="144" t="n">
        <v>5.4</v>
      </c>
      <c r="Z140" s="144" t="n">
        <v>5.4</v>
      </c>
      <c r="AA140" s="144" t="n">
        <v>5.4</v>
      </c>
      <c r="AB140" s="144" t="n">
        <v>5.4</v>
      </c>
    </row>
    <row r="141" ht="15" customHeight="1">
      <c r="A141" s="121" t="inlineStr">
        <is>
          <t>Fuel and technical</t>
        </is>
      </c>
      <c r="B141" s="122" t="inlineStr">
        <is>
          <t>Lube oil cost</t>
        </is>
      </c>
      <c r="C141" s="121" t="inlineStr">
        <is>
          <t>F71</t>
        </is>
      </c>
      <c r="D141" s="121" t="inlineStr">
        <is>
          <t>US$/L</t>
        </is>
      </c>
      <c r="E141" s="121" t="inlineStr">
        <is>
          <t>Input</t>
        </is>
      </c>
      <c r="F141" s="123" t="inlineStr"/>
      <c r="G141" s="138" t="n">
        <v>0</v>
      </c>
      <c r="H141" s="138" t="n">
        <v>0</v>
      </c>
      <c r="I141" s="138" t="n">
        <v>0</v>
      </c>
      <c r="J141" s="138" t="n">
        <v>0</v>
      </c>
      <c r="K141" s="138" t="n">
        <v>0</v>
      </c>
      <c r="L141" s="138" t="n">
        <v>0</v>
      </c>
      <c r="M141" s="138" t="n">
        <v>0</v>
      </c>
      <c r="N141" s="138" t="n">
        <v>0</v>
      </c>
      <c r="O141" s="138" t="n">
        <v>0</v>
      </c>
      <c r="P141" s="138" t="n">
        <v>0</v>
      </c>
      <c r="Q141" s="138" t="n">
        <v>0</v>
      </c>
      <c r="R141" s="138" t="n">
        <v>0</v>
      </c>
      <c r="S141" s="138" t="n">
        <v>0</v>
      </c>
      <c r="T141" s="138" t="n">
        <v>0</v>
      </c>
      <c r="U141" s="138" t="n">
        <v>0</v>
      </c>
      <c r="V141" s="138" t="n">
        <v>0</v>
      </c>
      <c r="W141" s="138" t="n">
        <v>0</v>
      </c>
      <c r="X141" s="138" t="n">
        <v>0</v>
      </c>
      <c r="Y141" s="138" t="n">
        <v>0</v>
      </c>
      <c r="Z141" s="138" t="n">
        <v>0</v>
      </c>
      <c r="AA141" s="138" t="n">
        <v>0</v>
      </c>
      <c r="AB141" s="138" t="n">
        <v>0</v>
      </c>
    </row>
    <row r="143">
      <c r="A143" s="119" t="inlineStr">
        <is>
          <t>10. Results</t>
        </is>
      </c>
      <c r="B143" s="120" t="n"/>
      <c r="C143" s="120" t="n"/>
      <c r="D143" s="120" t="n"/>
      <c r="E143" s="120" t="n"/>
      <c r="F143" s="120"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c r="AA143" s="120" t="n"/>
      <c r="AB143" s="120" t="n"/>
    </row>
    <row r="144" ht="15" customHeight="1">
      <c r="A144" s="121" t="inlineStr">
        <is>
          <t>Results</t>
        </is>
      </c>
      <c r="B144" s="122" t="inlineStr">
        <is>
          <t>GAT PRICE (PhP/kWh)  &gt;&gt;</t>
        </is>
      </c>
      <c r="C144" s="121" t="inlineStr">
        <is>
          <t>F30</t>
        </is>
      </c>
      <c r="D144" s="121" t="inlineStr">
        <is>
          <t>PhP/kWh</t>
        </is>
      </c>
      <c r="E144" s="121" t="inlineStr">
        <is>
          <t>Solver</t>
        </is>
      </c>
      <c r="F144" s="123" t="inlineStr">
        <is>
          <t>Solved: equity NPV = 0 at Re (G28 = 0). GATP = CRF + OM.</t>
        </is>
      </c>
      <c r="G144" s="145" t="n">
        <v>2.12354528738614</v>
      </c>
      <c r="H144" s="145" t="n">
        <v>2.045774398601298</v>
      </c>
      <c r="I144" s="146" t="n">
        <v>4.696214229179318</v>
      </c>
      <c r="J144" s="146" t="n">
        <v>2.923807338058453</v>
      </c>
      <c r="K144" s="146" t="n">
        <v>4.445550738342776</v>
      </c>
      <c r="L144" s="146" t="n">
        <v>4.696158996035751</v>
      </c>
      <c r="M144" s="146" t="n">
        <v>2.923754482170276</v>
      </c>
      <c r="N144" s="146" t="n">
        <v>4.44549936268872</v>
      </c>
      <c r="O144" s="146" t="n">
        <v>4.696170831625423</v>
      </c>
      <c r="P144" s="146" t="n">
        <v>2.923765808342443</v>
      </c>
      <c r="Q144" s="146" t="n">
        <v>4.44551037171547</v>
      </c>
      <c r="R144" s="145" t="n">
        <v>1.348155794798428</v>
      </c>
      <c r="S144" s="145" t="n">
        <v>1.348124127528474</v>
      </c>
      <c r="T144" s="146" t="n">
        <v>3.180420093234884</v>
      </c>
      <c r="U144" s="146" t="n">
        <v>2.058032373410724</v>
      </c>
      <c r="V144" s="146" t="n">
        <v>3.054603308830421</v>
      </c>
      <c r="W144" s="146" t="n">
        <v>3.18038334352556</v>
      </c>
      <c r="X144" s="146" t="n">
        <v>2.057997205422789</v>
      </c>
      <c r="Y144" s="146" t="n">
        <v>3.054569125725295</v>
      </c>
      <c r="Z144" s="146" t="n">
        <v>3.180391218407416</v>
      </c>
      <c r="AA144" s="146" t="n">
        <v>2.058004741360597</v>
      </c>
      <c r="AB144" s="146" t="n">
        <v>3.054576450648465</v>
      </c>
    </row>
    <row r="145" ht="24" customHeight="1">
      <c r="A145" s="121" t="inlineStr">
        <is>
          <t>Results</t>
        </is>
      </c>
      <c r="B145" s="122" t="inlineStr">
        <is>
          <t>Operating Assumptions        GAT Price in USD/kWh ==&gt;</t>
        </is>
      </c>
      <c r="C145" s="121" t="inlineStr">
        <is>
          <t>F29</t>
        </is>
      </c>
      <c r="D145" s="121" t="inlineStr">
        <is>
          <t>US$/kWh</t>
        </is>
      </c>
      <c r="E145" s="121" t="inlineStr">
        <is>
          <t>Result</t>
        </is>
      </c>
      <c r="F145" s="123" t="inlineStr"/>
      <c r="G145" s="147" t="n">
        <v>0.03383812364373351</v>
      </c>
      <c r="H145" s="147" t="n">
        <v>0.03259886542484061</v>
      </c>
      <c r="I145" s="147" t="n">
        <v>0.07483291205907511</v>
      </c>
      <c r="J145" s="147" t="n">
        <v>0.04659008442313808</v>
      </c>
      <c r="K145" s="147" t="n">
        <v>0.07083865667574059</v>
      </c>
      <c r="L145" s="147" t="n">
        <v>0.07483203193377129</v>
      </c>
      <c r="M145" s="147" t="n">
        <v>0.04658924217876021</v>
      </c>
      <c r="N145" s="147" t="n">
        <v>0.07083783801849576</v>
      </c>
      <c r="O145" s="147" t="n">
        <v>0.07483222053071296</v>
      </c>
      <c r="P145" s="147" t="n">
        <v>0.0465894226582708</v>
      </c>
      <c r="Q145" s="147" t="n">
        <v>0.07083801344437934</v>
      </c>
      <c r="R145" s="147" t="n">
        <v>0.02148250039515629</v>
      </c>
      <c r="S145" s="147" t="n">
        <v>0.02148199578571728</v>
      </c>
      <c r="T145" s="147" t="n">
        <v>0.05067913973540194</v>
      </c>
      <c r="U145" s="147" t="n">
        <v>0.03279419296020659</v>
      </c>
      <c r="V145" s="147" t="n">
        <v>0.04867428307780006</v>
      </c>
      <c r="W145" s="147" t="n">
        <v>0.05067855413865702</v>
      </c>
      <c r="X145" s="147" t="n">
        <v>0.03279363256776704</v>
      </c>
      <c r="Y145" s="147" t="n">
        <v>0.04867373837920351</v>
      </c>
      <c r="Z145" s="147" t="n">
        <v>0.05067867962278373</v>
      </c>
      <c r="AA145" s="147" t="n">
        <v>0.03279375265091142</v>
      </c>
      <c r="AB145" s="147" t="n">
        <v>0.04867385509988631</v>
      </c>
    </row>
    <row r="146" ht="15" customHeight="1">
      <c r="A146" s="121" t="inlineStr">
        <is>
          <t>Results</t>
        </is>
      </c>
      <c r="B146" s="122" t="inlineStr">
        <is>
          <t>Equity IRR achieved (= Re when solved)</t>
        </is>
      </c>
      <c r="C146" s="121" t="inlineStr">
        <is>
          <t>J26</t>
        </is>
      </c>
      <c r="D146" s="121" t="inlineStr">
        <is>
          <t>%</t>
        </is>
      </c>
      <c r="E146" s="121" t="inlineStr">
        <is>
          <t>Result</t>
        </is>
      </c>
      <c r="F146" s="123" t="inlineStr"/>
      <c r="G146" s="148" t="n">
        <v>0.14</v>
      </c>
      <c r="H146" s="148" t="n">
        <v>0.1400000000000002</v>
      </c>
      <c r="I146" s="148" t="n">
        <v>0.1400000000000002</v>
      </c>
      <c r="J146" s="148" t="n">
        <v>0.1400000000000001</v>
      </c>
      <c r="K146" s="148" t="n">
        <v>0.14</v>
      </c>
      <c r="L146" s="148" t="n">
        <v>0.1400000000000001</v>
      </c>
      <c r="M146" s="148" t="n">
        <v>0.1400000000000001</v>
      </c>
      <c r="N146" s="148" t="n">
        <v>0.1400000000000001</v>
      </c>
      <c r="O146" s="148" t="n">
        <v>0.1400000000000002</v>
      </c>
      <c r="P146" s="148" t="n">
        <v>0.14</v>
      </c>
      <c r="Q146" s="148" t="n">
        <v>0.1400000000000001</v>
      </c>
      <c r="R146" s="148" t="n">
        <v>0.1400000000000002</v>
      </c>
      <c r="S146" s="148" t="n">
        <v>0.1400000000000001</v>
      </c>
      <c r="T146" s="148" t="n">
        <v>0.1400000000000002</v>
      </c>
      <c r="U146" s="148" t="n">
        <v>0.1400000000000002</v>
      </c>
      <c r="V146" s="148" t="n">
        <v>0.14</v>
      </c>
      <c r="W146" s="148" t="n">
        <v>0.14</v>
      </c>
      <c r="X146" s="148" t="n">
        <v>0.1400000000000002</v>
      </c>
      <c r="Y146" s="148" t="n">
        <v>0.14</v>
      </c>
      <c r="Z146" s="148" t="n">
        <v>0.1400000000000001</v>
      </c>
      <c r="AA146" s="148" t="n">
        <v>0.14</v>
      </c>
      <c r="AB146" s="148" t="n">
        <v>0.14</v>
      </c>
    </row>
    <row r="147" ht="15" customHeight="1">
      <c r="A147" s="121" t="inlineStr">
        <is>
          <t>Results</t>
        </is>
      </c>
      <c r="B147" s="122" t="inlineStr">
        <is>
          <t>Equity Payback (30% equity, 70% debt)</t>
        </is>
      </c>
      <c r="C147" s="121" t="inlineStr">
        <is>
          <t>C50</t>
        </is>
      </c>
      <c r="D147" s="121" t="inlineStr">
        <is>
          <t>years</t>
        </is>
      </c>
      <c r="E147" s="121" t="inlineStr">
        <is>
          <t>Result</t>
        </is>
      </c>
      <c r="F147" s="123" t="inlineStr"/>
      <c r="G147" s="149" t="n">
        <v>9.304655023369707</v>
      </c>
      <c r="H147" s="149" t="n">
        <v>9.309661987010314</v>
      </c>
      <c r="I147" s="149" t="n">
        <v>8.263155178732774</v>
      </c>
      <c r="J147" s="149" t="n">
        <v>8.78464917363274</v>
      </c>
      <c r="K147" s="149" t="n">
        <v>8.607543752935813</v>
      </c>
      <c r="L147" s="149" t="n">
        <v>8.263131103550545</v>
      </c>
      <c r="M147" s="149" t="n">
        <v>8.78462613791806</v>
      </c>
      <c r="N147" s="149" t="n">
        <v>8.607525165824706</v>
      </c>
      <c r="O147" s="149" t="n">
        <v>8.2631362625084</v>
      </c>
      <c r="P147" s="149" t="n">
        <v>8.784631074122894</v>
      </c>
      <c r="Q147" s="149" t="n">
        <v>8.607529148794638</v>
      </c>
      <c r="R147" s="149" t="n">
        <v>9.304150354362317</v>
      </c>
      <c r="S147" s="149" t="n">
        <v>9.304174178363924</v>
      </c>
      <c r="T147" s="149" t="n">
        <v>8.261312312569641</v>
      </c>
      <c r="U147" s="149" t="n">
        <v>8.777332206387689</v>
      </c>
      <c r="V147" s="149" t="n">
        <v>8.603646026475925</v>
      </c>
      <c r="W147" s="149" t="n">
        <v>8.261288202912015</v>
      </c>
      <c r="X147" s="149" t="n">
        <v>8.777308925661583</v>
      </c>
      <c r="Y147" s="149" t="n">
        <v>8.603627359138521</v>
      </c>
      <c r="Z147" s="149" t="n">
        <v>8.26129336925753</v>
      </c>
      <c r="AA147" s="149" t="n">
        <v>8.777313914369975</v>
      </c>
      <c r="AB147" s="149" t="n">
        <v>8.603631359300039</v>
      </c>
    </row>
    <row r="148" ht="15" customHeight="1">
      <c r="A148" s="121" t="inlineStr">
        <is>
          <t>Results</t>
        </is>
      </c>
      <c r="B148" s="122" t="inlineStr">
        <is>
          <t>Project Payback (100% equity, 0% debt)</t>
        </is>
      </c>
      <c r="C148" s="121" t="inlineStr">
        <is>
          <t>C51</t>
        </is>
      </c>
      <c r="D148" s="121" t="inlineStr">
        <is>
          <t>years</t>
        </is>
      </c>
      <c r="E148" s="121" t="inlineStr">
        <is>
          <t>Result</t>
        </is>
      </c>
      <c r="F148" s="123" t="inlineStr"/>
      <c r="G148" s="149" t="n">
        <v>7.949483895568179</v>
      </c>
      <c r="H148" s="149" t="n">
        <v>7.952236738937815</v>
      </c>
      <c r="I148" s="149" t="n">
        <v>7.590447831606477</v>
      </c>
      <c r="J148" s="149" t="n">
        <v>7.773829045586591</v>
      </c>
      <c r="K148" s="149" t="n">
        <v>7.713095356621857</v>
      </c>
      <c r="L148" s="149" t="n">
        <v>7.590651679602107</v>
      </c>
      <c r="M148" s="149" t="n">
        <v>7.774185272714031</v>
      </c>
      <c r="N148" s="149" t="n">
        <v>7.713315027363903</v>
      </c>
      <c r="O148" s="149" t="n">
        <v>7.590607997247229</v>
      </c>
      <c r="P148" s="149" t="n">
        <v>7.774108936209268</v>
      </c>
      <c r="Q148" s="149" t="n">
        <v>7.713267954217387</v>
      </c>
      <c r="R148" s="149" t="n">
        <v>7.949429724025213</v>
      </c>
      <c r="S148" s="149" t="n">
        <v>7.949956107134365</v>
      </c>
      <c r="T148" s="149" t="n">
        <v>7.589710011097772</v>
      </c>
      <c r="U148" s="149" t="n">
        <v>7.770877413497884</v>
      </c>
      <c r="V148" s="149" t="n">
        <v>7.711523175013582</v>
      </c>
      <c r="W148" s="149" t="n">
        <v>7.589913839513043</v>
      </c>
      <c r="X148" s="149" t="n">
        <v>7.771233535460249</v>
      </c>
      <c r="Y148" s="149" t="n">
        <v>7.711742809559393</v>
      </c>
      <c r="Z148" s="149" t="n">
        <v>7.589870161354023</v>
      </c>
      <c r="AA148" s="149" t="n">
        <v>7.771157221491362</v>
      </c>
      <c r="AB148" s="149" t="n">
        <v>7.711695744169331</v>
      </c>
    </row>
    <row r="149" ht="24" customHeight="1">
      <c r="A149" s="121" t="inlineStr">
        <is>
          <t>Results</t>
        </is>
      </c>
      <c r="B149" s="122" t="inlineStr">
        <is>
          <t>Cross-check: asset-base tariff, pre-tax WACC [8.8.8]</t>
        </is>
      </c>
      <c r="C149" s="121" t="inlineStr">
        <is>
          <t>F33</t>
        </is>
      </c>
      <c r="D149" s="121" t="inlineStr">
        <is>
          <t>US$/kWh</t>
        </is>
      </c>
      <c r="E149" s="121" t="inlineStr">
        <is>
          <t>Result</t>
        </is>
      </c>
      <c r="F149" s="123" t="inlineStr"/>
      <c r="G149" s="147" t="n">
        <v>0.03136446444908701</v>
      </c>
      <c r="H149" s="147" t="n">
        <v>0.03011966845682712</v>
      </c>
      <c r="I149" s="147" t="n">
        <v>0.06317071078409252</v>
      </c>
      <c r="J149" s="147" t="n">
        <v>0.04108978039149466</v>
      </c>
      <c r="K149" s="147" t="n">
        <v>0.06114398880759384</v>
      </c>
      <c r="L149" s="147" t="n">
        <v>0.06316941615502715</v>
      </c>
      <c r="M149" s="147" t="n">
        <v>0.04108794665395479</v>
      </c>
      <c r="N149" s="147" t="n">
        <v>0.06114270135330013</v>
      </c>
      <c r="O149" s="147" t="n">
        <v>0.06316969357551092</v>
      </c>
      <c r="P149" s="147" t="n">
        <v>0.04108833959769228</v>
      </c>
      <c r="Q149" s="147" t="n">
        <v>0.06114297723635339</v>
      </c>
      <c r="R149" s="147" t="n">
        <v>0.01992517194322811</v>
      </c>
      <c r="S149" s="147" t="n">
        <v>0.01992297109081393</v>
      </c>
      <c r="T149" s="147" t="n">
        <v>0.04291938994179882</v>
      </c>
      <c r="U149" s="147" t="n">
        <v>0.02913637803956356</v>
      </c>
      <c r="V149" s="147" t="n">
        <v>0.04222514047089693</v>
      </c>
      <c r="W149" s="147" t="n">
        <v>0.0429185285524452</v>
      </c>
      <c r="X149" s="147" t="n">
        <v>0.02913515795109464</v>
      </c>
      <c r="Y149" s="147" t="n">
        <v>0.04222428385532143</v>
      </c>
      <c r="Z149" s="147" t="n">
        <v>0.042918713135858</v>
      </c>
      <c r="AA149" s="147" t="n">
        <v>0.02913541939860969</v>
      </c>
      <c r="AB149" s="147" t="n">
        <v>0.04222446741579546</v>
      </c>
    </row>
    <row r="150" ht="24" customHeight="1">
      <c r="A150" s="121" t="inlineStr">
        <is>
          <t>Results</t>
        </is>
      </c>
      <c r="B150" s="122" t="inlineStr">
        <is>
          <t>Variance: press ctrl + g to converge capex to target</t>
        </is>
      </c>
      <c r="C150" s="121" t="inlineStr">
        <is>
          <t>C36</t>
        </is>
      </c>
      <c r="D150" s="121" t="inlineStr">
        <is>
          <t>US$/kW</t>
        </is>
      </c>
      <c r="E150" s="121" t="inlineStr">
        <is>
          <t>Result</t>
        </is>
      </c>
      <c r="F150" s="123" t="inlineStr"/>
      <c r="G150" s="150" t="n">
        <v>0</v>
      </c>
      <c r="H150" s="150" t="n">
        <v>0</v>
      </c>
      <c r="I150" s="150" t="n">
        <v>1.292619344894774e-09</v>
      </c>
      <c r="J150" s="150" t="n">
        <v>6.240270522539504e-10</v>
      </c>
      <c r="K150" s="150" t="n">
        <v>2.607976057333872e-10</v>
      </c>
      <c r="L150" s="150" t="n">
        <v>6.67478161631152e-09</v>
      </c>
      <c r="M150" s="150" t="n">
        <v>3.220748112653382e-09</v>
      </c>
      <c r="N150" s="150" t="n">
        <v>1.346961653325707e-09</v>
      </c>
      <c r="O150" s="150" t="n">
        <v>5.168885763850994e-09</v>
      </c>
      <c r="P150" s="150" t="n">
        <v>2.494516593287699e-09</v>
      </c>
      <c r="Q150" s="150" t="n">
        <v>1.043645170284435e-09</v>
      </c>
      <c r="R150" s="150" t="n">
        <v>0</v>
      </c>
      <c r="S150" s="150" t="n">
        <v>0</v>
      </c>
      <c r="T150" s="150" t="n">
        <v>1.292619344894774e-09</v>
      </c>
      <c r="U150" s="150" t="n">
        <v>6.240270522539504e-10</v>
      </c>
      <c r="V150" s="150" t="n">
        <v>2.607976057333872e-10</v>
      </c>
      <c r="W150" s="150" t="n">
        <v>6.67478161631152e-09</v>
      </c>
      <c r="X150" s="150" t="n">
        <v>3.220748112653382e-09</v>
      </c>
      <c r="Y150" s="150" t="n">
        <v>1.346961653325707e-09</v>
      </c>
      <c r="Z150" s="150" t="n">
        <v>5.168885763850994e-09</v>
      </c>
      <c r="AA150" s="150" t="n">
        <v>2.494516593287699e-09</v>
      </c>
      <c r="AB150" s="150" t="n">
        <v>1.043645170284435e-09</v>
      </c>
    </row>
    <row r="152">
      <c r="A152" s="119" t="inlineStr">
        <is>
          <t>11. GAT Price build-up (first year, PhP/kWh)</t>
        </is>
      </c>
      <c r="B152" s="120" t="n"/>
      <c r="C152" s="120" t="n"/>
      <c r="D152" s="120" t="n"/>
      <c r="E152" s="120" t="n"/>
      <c r="F152" s="120"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c r="AA152" s="120" t="n"/>
      <c r="AB152" s="120" t="n"/>
    </row>
    <row r="153" ht="24" customHeight="1">
      <c r="A153" s="121" t="inlineStr">
        <is>
          <t>GAT Price build-up</t>
        </is>
      </c>
      <c r="B153" s="122" t="inlineStr">
        <is>
          <t>CRF – capital recovery (return of/on capital, financing, income tax)</t>
        </is>
      </c>
      <c r="C153" s="121" t="inlineStr">
        <is>
          <t>GATP Build-up</t>
        </is>
      </c>
      <c r="D153" s="121" t="inlineStr">
        <is>
          <t>PhP/kWh</t>
        </is>
      </c>
      <c r="E153" s="121" t="inlineStr">
        <is>
          <t>Result</t>
        </is>
      </c>
      <c r="F153" s="123" t="inlineStr"/>
      <c r="G153" s="150" t="n">
        <v>1.486830198990387</v>
      </c>
      <c r="H153" s="150" t="n">
        <v>1.488143043872764</v>
      </c>
      <c r="I153" s="151" t="n">
        <v>3.94390173844531</v>
      </c>
      <c r="J153" s="151" t="n">
        <v>2.23213977590294</v>
      </c>
      <c r="K153" s="151" t="n">
        <v>3.542161243792975</v>
      </c>
      <c r="L153" s="151" t="n">
        <v>3.943882592731354</v>
      </c>
      <c r="M153" s="151" t="n">
        <v>2.232123082103706</v>
      </c>
      <c r="N153" s="151" t="n">
        <v>3.542146062279643</v>
      </c>
      <c r="O153" s="151" t="n">
        <v>3.94388669530116</v>
      </c>
      <c r="P153" s="151" t="n">
        <v>2.232126659257657</v>
      </c>
      <c r="Q153" s="151" t="n">
        <v>3.54214931541949</v>
      </c>
      <c r="R153" s="150" t="n">
        <v>0.9349231281474634</v>
      </c>
      <c r="S153" s="150" t="n">
        <v>0.9349145331365989</v>
      </c>
      <c r="T153" s="151" t="n">
        <v>2.623433816359344</v>
      </c>
      <c r="U153" s="151" t="n">
        <v>1.483531489065016</v>
      </c>
      <c r="V153" s="151" t="n">
        <v>2.355434166676148</v>
      </c>
      <c r="W153" s="151" t="n">
        <v>2.62342107764166</v>
      </c>
      <c r="X153" s="151" t="n">
        <v>1.483520381743764</v>
      </c>
      <c r="Y153" s="151" t="n">
        <v>2.355424065563553</v>
      </c>
      <c r="Z153" s="151" t="n">
        <v>2.623423807311532</v>
      </c>
      <c r="AA153" s="151" t="n">
        <v>1.483522761824987</v>
      </c>
      <c r="AB153" s="151" t="n">
        <v>2.355426230060016</v>
      </c>
    </row>
    <row r="154" ht="15" customHeight="1">
      <c r="A154" s="121" t="inlineStr">
        <is>
          <t>GAT Price build-up</t>
        </is>
      </c>
      <c r="B154" s="122" t="inlineStr">
        <is>
          <t>CRF – G&amp;A</t>
        </is>
      </c>
      <c r="C154" s="121" t="inlineStr">
        <is>
          <t>GATP Build-up</t>
        </is>
      </c>
      <c r="D154" s="121" t="inlineStr">
        <is>
          <t>PhP/kWh</t>
        </is>
      </c>
      <c r="E154" s="121" t="inlineStr">
        <is>
          <t>Result</t>
        </is>
      </c>
      <c r="F154" s="123" t="inlineStr"/>
      <c r="G154" s="150" t="n">
        <v>0.04777779558966159</v>
      </c>
      <c r="H154" s="150" t="n">
        <v>0.04329565893794141</v>
      </c>
      <c r="I154" s="151" t="n">
        <v>0.07052284750191348</v>
      </c>
      <c r="J154" s="151" t="n">
        <v>0.05544216248294227</v>
      </c>
      <c r="K154" s="151" t="n">
        <v>0.07844986359632908</v>
      </c>
      <c r="L154" s="151" t="n">
        <v>0.07047331219180548</v>
      </c>
      <c r="M154" s="151" t="n">
        <v>0.05539252538226503</v>
      </c>
      <c r="N154" s="151" t="n">
        <v>0.07840017816032213</v>
      </c>
      <c r="O154" s="151" t="n">
        <v>0.07048392690121993</v>
      </c>
      <c r="P154" s="151" t="n">
        <v>0.05540316190389129</v>
      </c>
      <c r="Q154" s="151" t="n">
        <v>0.07841082503948879</v>
      </c>
      <c r="R154" s="150" t="n">
        <v>0.03013266533409306</v>
      </c>
      <c r="S154" s="150" t="n">
        <v>0.03010101077456997</v>
      </c>
      <c r="T154" s="151" t="n">
        <v>0.04951818254697807</v>
      </c>
      <c r="U154" s="151" t="n">
        <v>0.04272837587578042</v>
      </c>
      <c r="V154" s="151" t="n">
        <v>0.05712830892326653</v>
      </c>
      <c r="W154" s="151" t="n">
        <v>0.04948522392593631</v>
      </c>
      <c r="X154" s="151" t="n">
        <v>0.04269534952776186</v>
      </c>
      <c r="Y154" s="151" t="n">
        <v>0.05709525041504129</v>
      </c>
      <c r="Z154" s="151" t="n">
        <v>0.04949228648765837</v>
      </c>
      <c r="AA154" s="151" t="n">
        <v>0.04270242660237237</v>
      </c>
      <c r="AB154" s="151" t="n">
        <v>0.05710233438110449</v>
      </c>
    </row>
    <row r="155" ht="15" customHeight="1">
      <c r="A155" s="121" t="inlineStr">
        <is>
          <t>GAT Price build-up</t>
        </is>
      </c>
      <c r="B155" s="122" t="inlineStr">
        <is>
          <t>CRF – land lease</t>
        </is>
      </c>
      <c r="C155" s="121" t="inlineStr">
        <is>
          <t>GATP Build-up</t>
        </is>
      </c>
      <c r="D155" s="121" t="inlineStr">
        <is>
          <t>PhP/kWh</t>
        </is>
      </c>
      <c r="E155" s="121" t="inlineStr">
        <is>
          <t>Result</t>
        </is>
      </c>
      <c r="F155" s="123" t="inlineStr"/>
      <c r="G155" s="150" t="n">
        <v>0</v>
      </c>
      <c r="H155" s="150" t="n">
        <v>0</v>
      </c>
      <c r="I155" s="151" t="n">
        <v>0</v>
      </c>
      <c r="J155" s="151" t="n">
        <v>0</v>
      </c>
      <c r="K155" s="151" t="n">
        <v>0</v>
      </c>
      <c r="L155" s="151" t="n">
        <v>0</v>
      </c>
      <c r="M155" s="151" t="n">
        <v>0</v>
      </c>
      <c r="N155" s="151" t="n">
        <v>0</v>
      </c>
      <c r="O155" s="151" t="n">
        <v>0</v>
      </c>
      <c r="P155" s="151" t="n">
        <v>0</v>
      </c>
      <c r="Q155" s="151" t="n">
        <v>0</v>
      </c>
      <c r="R155" s="150" t="n">
        <v>0</v>
      </c>
      <c r="S155" s="150" t="n">
        <v>0</v>
      </c>
      <c r="T155" s="151" t="n">
        <v>0</v>
      </c>
      <c r="U155" s="151" t="n">
        <v>0</v>
      </c>
      <c r="V155" s="151" t="n">
        <v>0</v>
      </c>
      <c r="W155" s="151" t="n">
        <v>0</v>
      </c>
      <c r="X155" s="151" t="n">
        <v>0</v>
      </c>
      <c r="Y155" s="151" t="n">
        <v>0</v>
      </c>
      <c r="Z155" s="151" t="n">
        <v>0</v>
      </c>
      <c r="AA155" s="151" t="n">
        <v>0</v>
      </c>
      <c r="AB155" s="151" t="n">
        <v>0</v>
      </c>
    </row>
    <row r="156" ht="15" customHeight="1">
      <c r="A156" s="121" t="inlineStr">
        <is>
          <t>GAT Price build-up</t>
        </is>
      </c>
      <c r="B156" s="122" t="inlineStr">
        <is>
          <t>CRF – local taxes and ER 1-94</t>
        </is>
      </c>
      <c r="C156" s="121" t="inlineStr">
        <is>
          <t>GATP Build-up</t>
        </is>
      </c>
      <c r="D156" s="121" t="inlineStr">
        <is>
          <t>PhP/kWh</t>
        </is>
      </c>
      <c r="E156" s="121" t="inlineStr">
        <is>
          <t>Result</t>
        </is>
      </c>
      <c r="F156" s="123" t="inlineStr"/>
      <c r="G156" s="150" t="n">
        <v>0.1328416046460465</v>
      </c>
      <c r="H156" s="150" t="n">
        <v>0.1321331544672561</v>
      </c>
      <c r="I156" s="151" t="n">
        <v>0.2839542902423469</v>
      </c>
      <c r="J156" s="151" t="n">
        <v>0.1794067985308676</v>
      </c>
      <c r="K156" s="151" t="n">
        <v>0.2629041647027586</v>
      </c>
      <c r="L156" s="151" t="n">
        <v>0.2839972337237082</v>
      </c>
      <c r="M156" s="151" t="n">
        <v>0.1794498275846172</v>
      </c>
      <c r="N156" s="151" t="n">
        <v>0.2629472377908854</v>
      </c>
      <c r="O156" s="151" t="n">
        <v>0.2839880315481977</v>
      </c>
      <c r="P156" s="151" t="n">
        <v>0.1794406070721735</v>
      </c>
      <c r="Q156" s="151" t="n">
        <v>0.2629380078429988</v>
      </c>
      <c r="R156" s="150" t="n">
        <v>0.09478627164445091</v>
      </c>
      <c r="S156" s="150" t="n">
        <v>0.09481369843229404</v>
      </c>
      <c r="T156" s="151" t="n">
        <v>0.199509657197482</v>
      </c>
      <c r="U156" s="151" t="n">
        <v>0.1304988872227758</v>
      </c>
      <c r="V156" s="151" t="n">
        <v>0.185900217878147</v>
      </c>
      <c r="W156" s="151" t="n">
        <v>0.1995382299050175</v>
      </c>
      <c r="X156" s="151" t="n">
        <v>0.1305275168664224</v>
      </c>
      <c r="Y156" s="151" t="n">
        <v>0.1859288768203355</v>
      </c>
      <c r="Z156" s="151" t="n">
        <v>0.1995321071813534</v>
      </c>
      <c r="AA156" s="151" t="n">
        <v>0.1305213819421677</v>
      </c>
      <c r="AB156" s="151" t="n">
        <v>0.1859227356181512</v>
      </c>
    </row>
    <row r="157" ht="15" customHeight="1">
      <c r="A157" s="121" t="inlineStr">
        <is>
          <t>GAT Price build-up</t>
        </is>
      </c>
      <c r="B157" s="122" t="inlineStr">
        <is>
          <t>CRF subtotal</t>
        </is>
      </c>
      <c r="C157" s="121" t="inlineStr">
        <is>
          <t>GATP Build-up</t>
        </is>
      </c>
      <c r="D157" s="121" t="inlineStr">
        <is>
          <t>PhP/kWh</t>
        </is>
      </c>
      <c r="E157" s="121" t="inlineStr">
        <is>
          <t>Result</t>
        </is>
      </c>
      <c r="F157" s="123" t="inlineStr"/>
      <c r="G157" s="152" t="n">
        <v>1.667449599226095</v>
      </c>
      <c r="H157" s="152" t="n">
        <v>1.663571857277961</v>
      </c>
      <c r="I157" s="153" t="n">
        <v>4.29837887618957</v>
      </c>
      <c r="J157" s="153" t="n">
        <v>2.46698873691675</v>
      </c>
      <c r="K157" s="153" t="n">
        <v>3.883515272092063</v>
      </c>
      <c r="L157" s="153" t="n">
        <v>4.298353138646868</v>
      </c>
      <c r="M157" s="153" t="n">
        <v>2.466965435070589</v>
      </c>
      <c r="N157" s="153" t="n">
        <v>3.883493478230851</v>
      </c>
      <c r="O157" s="153" t="n">
        <v>4.298358653750578</v>
      </c>
      <c r="P157" s="153" t="n">
        <v>2.466970428233721</v>
      </c>
      <c r="Q157" s="153" t="n">
        <v>3.883498148301978</v>
      </c>
      <c r="R157" s="152" t="n">
        <v>1.059842065126007</v>
      </c>
      <c r="S157" s="152" t="n">
        <v>1.059829242343463</v>
      </c>
      <c r="T157" s="153" t="n">
        <v>2.872461656103805</v>
      </c>
      <c r="U157" s="153" t="n">
        <v>1.656758752163572</v>
      </c>
      <c r="V157" s="153" t="n">
        <v>2.598462693477561</v>
      </c>
      <c r="W157" s="153" t="n">
        <v>2.872444531472614</v>
      </c>
      <c r="X157" s="153" t="n">
        <v>1.656743248137948</v>
      </c>
      <c r="Y157" s="153" t="n">
        <v>2.59844819279893</v>
      </c>
      <c r="Z157" s="153" t="n">
        <v>2.872448200980544</v>
      </c>
      <c r="AA157" s="153" t="n">
        <v>1.656746570369527</v>
      </c>
      <c r="AB157" s="153" t="n">
        <v>2.598451300059271</v>
      </c>
    </row>
    <row r="158" ht="15" customHeight="1">
      <c r="A158" s="121" t="inlineStr">
        <is>
          <t>GAT Price build-up</t>
        </is>
      </c>
      <c r="B158" s="122" t="inlineStr">
        <is>
          <t>OM – fixed O&amp;M</t>
        </is>
      </c>
      <c r="C158" s="121" t="inlineStr">
        <is>
          <t>GATP Build-up</t>
        </is>
      </c>
      <c r="D158" s="121" t="inlineStr">
        <is>
          <t>PhP/kWh</t>
        </is>
      </c>
      <c r="E158" s="121" t="inlineStr">
        <is>
          <t>Result</t>
        </is>
      </c>
      <c r="F158" s="123" t="inlineStr"/>
      <c r="G158" s="150" t="n">
        <v>0.2408352664316716</v>
      </c>
      <c r="H158" s="150" t="n">
        <v>0.2408352664316718</v>
      </c>
      <c r="I158" s="151" t="n">
        <v>0.2408352664316718</v>
      </c>
      <c r="J158" s="151" t="n">
        <v>0.149314351908768</v>
      </c>
      <c r="K158" s="151" t="n">
        <v>0.2898455066464321</v>
      </c>
      <c r="L158" s="151" t="n">
        <v>0.2408352664316717</v>
      </c>
      <c r="M158" s="151" t="n">
        <v>0.149314351908768</v>
      </c>
      <c r="N158" s="151" t="n">
        <v>0.2898455066464321</v>
      </c>
      <c r="O158" s="151" t="n">
        <v>0.2408352664316718</v>
      </c>
      <c r="P158" s="151" t="n">
        <v>0.149314351908768</v>
      </c>
      <c r="Q158" s="151" t="n">
        <v>0.2898455066464321</v>
      </c>
      <c r="R158" s="150" t="n">
        <v>0.1514223705513954</v>
      </c>
      <c r="S158" s="150" t="n">
        <v>0.1514223705513955</v>
      </c>
      <c r="T158" s="151" t="n">
        <v>0.1602412150546261</v>
      </c>
      <c r="U158" s="151" t="n">
        <v>0.0993472157523211</v>
      </c>
      <c r="V158" s="151" t="n">
        <v>0.1928504776368586</v>
      </c>
      <c r="W158" s="151" t="n">
        <v>0.1602412150546261</v>
      </c>
      <c r="X158" s="151" t="n">
        <v>0.0993472157523211</v>
      </c>
      <c r="Y158" s="151" t="n">
        <v>0.1928504776368586</v>
      </c>
      <c r="Z158" s="151" t="n">
        <v>0.1602412150546261</v>
      </c>
      <c r="AA158" s="151" t="n">
        <v>0.0993472157523211</v>
      </c>
      <c r="AB158" s="151" t="n">
        <v>0.1928504776368586</v>
      </c>
    </row>
    <row r="159" ht="15" customHeight="1">
      <c r="A159" s="121" t="inlineStr">
        <is>
          <t>GAT Price build-up</t>
        </is>
      </c>
      <c r="B159" s="122" t="inlineStr">
        <is>
          <t>OM – variable non-fuel O&amp;M</t>
        </is>
      </c>
      <c r="C159" s="121" t="inlineStr">
        <is>
          <t>GATP Build-up</t>
        </is>
      </c>
      <c r="D159" s="121" t="inlineStr">
        <is>
          <t>PhP/kWh</t>
        </is>
      </c>
      <c r="E159" s="121" t="inlineStr">
        <is>
          <t>Result</t>
        </is>
      </c>
      <c r="F159" s="123" t="inlineStr"/>
      <c r="G159" s="150" t="n">
        <v>0.215260421728373</v>
      </c>
      <c r="H159" s="150" t="n">
        <v>0.1413672748916645</v>
      </c>
      <c r="I159" s="151" t="n">
        <v>0.1570000865580744</v>
      </c>
      <c r="J159" s="151" t="n">
        <v>0.3075042492329361</v>
      </c>
      <c r="K159" s="151" t="n">
        <v>0.2721899596042816</v>
      </c>
      <c r="L159" s="151" t="n">
        <v>0.1569705909572128</v>
      </c>
      <c r="M159" s="151" t="n">
        <v>0.3074746951909192</v>
      </c>
      <c r="N159" s="151" t="n">
        <v>0.2721603778114374</v>
      </c>
      <c r="O159" s="151" t="n">
        <v>0.1569769114431724</v>
      </c>
      <c r="P159" s="151" t="n">
        <v>0.307481028199953</v>
      </c>
      <c r="Q159" s="151" t="n">
        <v>0.2721667167670597</v>
      </c>
      <c r="R159" s="150" t="n">
        <v>0.1368913591210255</v>
      </c>
      <c r="S159" s="150" t="n">
        <v>0.1368725146336156</v>
      </c>
      <c r="T159" s="151" t="n">
        <v>0.1477172220764529</v>
      </c>
      <c r="U159" s="151" t="n">
        <v>0.3019264054948317</v>
      </c>
      <c r="V159" s="151" t="n">
        <v>0.2632901377160011</v>
      </c>
      <c r="W159" s="151" t="n">
        <v>0.1476975969983202</v>
      </c>
      <c r="X159" s="151" t="n">
        <v>0.3019067415325195</v>
      </c>
      <c r="Y159" s="151" t="n">
        <v>0.2632704552895065</v>
      </c>
      <c r="Z159" s="151" t="n">
        <v>0.1477018023722461</v>
      </c>
      <c r="AA159" s="151" t="n">
        <v>0.3019109552387494</v>
      </c>
      <c r="AB159" s="151" t="n">
        <v>0.2632746729523353</v>
      </c>
    </row>
    <row r="160" ht="15" customHeight="1">
      <c r="A160" s="121" t="inlineStr">
        <is>
          <t>GAT Price build-up</t>
        </is>
      </c>
      <c r="B160" s="122" t="inlineStr">
        <is>
          <t>OM subtotal</t>
        </is>
      </c>
      <c r="C160" s="121" t="inlineStr">
        <is>
          <t>GATP Build-up</t>
        </is>
      </c>
      <c r="D160" s="121" t="inlineStr">
        <is>
          <t>PhP/kWh</t>
        </is>
      </c>
      <c r="E160" s="121" t="inlineStr">
        <is>
          <t>Result</t>
        </is>
      </c>
      <c r="F160" s="123" t="inlineStr"/>
      <c r="G160" s="152" t="n">
        <v>0.4560956881600446</v>
      </c>
      <c r="H160" s="152" t="n">
        <v>0.3822025413233363</v>
      </c>
      <c r="I160" s="153" t="n">
        <v>0.3978353529897461</v>
      </c>
      <c r="J160" s="153" t="n">
        <v>0.4568186011417041</v>
      </c>
      <c r="K160" s="153" t="n">
        <v>0.5620354662507137</v>
      </c>
      <c r="L160" s="153" t="n">
        <v>0.3978058573888845</v>
      </c>
      <c r="M160" s="153" t="n">
        <v>0.4567890470996873</v>
      </c>
      <c r="N160" s="153" t="n">
        <v>0.5620058844578695</v>
      </c>
      <c r="O160" s="153" t="n">
        <v>0.3978121778748441</v>
      </c>
      <c r="P160" s="153" t="n">
        <v>0.456795380108721</v>
      </c>
      <c r="Q160" s="153" t="n">
        <v>0.5620122234134919</v>
      </c>
      <c r="R160" s="152" t="n">
        <v>0.2883137296724209</v>
      </c>
      <c r="S160" s="152" t="n">
        <v>0.2882948851850111</v>
      </c>
      <c r="T160" s="153" t="n">
        <v>0.3079584371310791</v>
      </c>
      <c r="U160" s="153" t="n">
        <v>0.4012736212471528</v>
      </c>
      <c r="V160" s="153" t="n">
        <v>0.4561406153528597</v>
      </c>
      <c r="W160" s="153" t="n">
        <v>0.3079388120529464</v>
      </c>
      <c r="X160" s="153" t="n">
        <v>0.4012539572848405</v>
      </c>
      <c r="Y160" s="153" t="n">
        <v>0.4561209329263651</v>
      </c>
      <c r="Z160" s="153" t="n">
        <v>0.3079430174268722</v>
      </c>
      <c r="AA160" s="153" t="n">
        <v>0.4012581709910705</v>
      </c>
      <c r="AB160" s="153" t="n">
        <v>0.4561251505891939</v>
      </c>
    </row>
    <row r="161" ht="15" customHeight="1">
      <c r="A161" s="121" t="inlineStr">
        <is>
          <t>GAT Price build-up</t>
        </is>
      </c>
      <c r="B161" s="122" t="inlineStr">
        <is>
          <t>GATP = CRF + OM</t>
        </is>
      </c>
      <c r="C161" s="121" t="inlineStr">
        <is>
          <t>GATP Build-up</t>
        </is>
      </c>
      <c r="D161" s="121" t="inlineStr">
        <is>
          <t>PhP/kWh</t>
        </is>
      </c>
      <c r="E161" s="121" t="inlineStr">
        <is>
          <t>Result</t>
        </is>
      </c>
      <c r="F161" s="123" t="inlineStr"/>
      <c r="G161" s="152" t="n">
        <v>2.12354528738614</v>
      </c>
      <c r="H161" s="152" t="n">
        <v>2.045774398601298</v>
      </c>
      <c r="I161" s="153" t="n">
        <v>4.696214229179318</v>
      </c>
      <c r="J161" s="153" t="n">
        <v>2.923807338058453</v>
      </c>
      <c r="K161" s="153" t="n">
        <v>4.445550738342776</v>
      </c>
      <c r="L161" s="153" t="n">
        <v>4.696158996035751</v>
      </c>
      <c r="M161" s="153" t="n">
        <v>2.923754482170276</v>
      </c>
      <c r="N161" s="153" t="n">
        <v>4.44549936268872</v>
      </c>
      <c r="O161" s="153" t="n">
        <v>4.696170831625423</v>
      </c>
      <c r="P161" s="153" t="n">
        <v>2.923765808342443</v>
      </c>
      <c r="Q161" s="153" t="n">
        <v>4.44551037171547</v>
      </c>
      <c r="R161" s="152" t="n">
        <v>1.348155794798428</v>
      </c>
      <c r="S161" s="152" t="n">
        <v>1.348124127528474</v>
      </c>
      <c r="T161" s="153" t="n">
        <v>3.180420093234884</v>
      </c>
      <c r="U161" s="153" t="n">
        <v>2.058032373410724</v>
      </c>
      <c r="V161" s="153" t="n">
        <v>3.054603308830421</v>
      </c>
      <c r="W161" s="153" t="n">
        <v>3.18038334352556</v>
      </c>
      <c r="X161" s="153" t="n">
        <v>2.057997205422789</v>
      </c>
      <c r="Y161" s="153" t="n">
        <v>3.054569125725295</v>
      </c>
      <c r="Z161" s="153" t="n">
        <v>3.180391218407416</v>
      </c>
      <c r="AA161" s="153" t="n">
        <v>2.058004741360597</v>
      </c>
      <c r="AB161" s="153" t="n">
        <v>3.054576450648465</v>
      </c>
    </row>
    <row r="162" ht="15" customHeight="1">
      <c r="A162" s="121" t="inlineStr">
        <is>
          <t>GAT Price build-up</t>
        </is>
      </c>
      <c r="B162" s="122" t="inlineStr">
        <is>
          <t>CLLC moved to the Fuel Cost (first year)</t>
        </is>
      </c>
      <c r="C162" s="121" t="inlineStr">
        <is>
          <t>GATP Build-up</t>
        </is>
      </c>
      <c r="D162" s="121" t="inlineStr">
        <is>
          <t>PhP/kWh</t>
        </is>
      </c>
      <c r="E162" s="121" t="inlineStr">
        <is>
          <t>Result</t>
        </is>
      </c>
      <c r="F162" s="123" t="inlineStr"/>
      <c r="G162" s="150" t="n">
        <v>1.216353671233749</v>
      </c>
      <c r="H162" s="150" t="n">
        <v>0.7740432453305683</v>
      </c>
      <c r="I162" s="150" t="n">
        <v>0.7435691018136166</v>
      </c>
      <c r="J162" s="150" t="n">
        <v>1.194586425864496</v>
      </c>
      <c r="K162" s="150" t="n">
        <v>0.9751725925424473</v>
      </c>
      <c r="L162" s="150" t="n">
        <v>1.232759300375205</v>
      </c>
      <c r="M162" s="150" t="n">
        <v>1.980498548143772</v>
      </c>
      <c r="N162" s="150" t="n">
        <v>1.616733508688793</v>
      </c>
      <c r="O162" s="150" t="n">
        <v>1.232759300375206</v>
      </c>
      <c r="P162" s="150" t="n">
        <v>1.980498548143771</v>
      </c>
      <c r="Q162" s="150" t="n">
        <v>1.616733508688794</v>
      </c>
      <c r="R162" s="150" t="n">
        <v>0.774043245330567</v>
      </c>
      <c r="S162" s="150" t="n">
        <v>0.7740432453305666</v>
      </c>
      <c r="T162" s="150" t="n">
        <v>0.7435691018136166</v>
      </c>
      <c r="U162" s="150" t="n">
        <v>1.194586425864495</v>
      </c>
      <c r="V162" s="150" t="n">
        <v>0.9751725925424477</v>
      </c>
      <c r="W162" s="150" t="n">
        <v>1.232759300375205</v>
      </c>
      <c r="X162" s="150" t="n">
        <v>1.980498548143771</v>
      </c>
      <c r="Y162" s="150" t="n">
        <v>1.616733528166195</v>
      </c>
      <c r="Z162" s="150" t="n">
        <v>1.232759300375205</v>
      </c>
      <c r="AA162" s="150" t="n">
        <v>1.980498548143772</v>
      </c>
      <c r="AB162" s="150" t="n">
        <v>1.616733528558621</v>
      </c>
    </row>
    <row r="163" ht="15" customHeight="1">
      <c r="A163" s="121" t="inlineStr">
        <is>
          <t>GAT Price build-up</t>
        </is>
      </c>
      <c r="B163" s="122" t="inlineStr">
        <is>
          <t>Previous-draft GATP (incl. CLLC; old capex)</t>
        </is>
      </c>
      <c r="C163" s="121" t="inlineStr">
        <is>
          <t>GATP Build-up</t>
        </is>
      </c>
      <c r="D163" s="121" t="inlineStr">
        <is>
          <t>PhP/kWh</t>
        </is>
      </c>
      <c r="E163" s="121" t="inlineStr">
        <is>
          <t>Result</t>
        </is>
      </c>
      <c r="F163" s="123" t="inlineStr"/>
      <c r="G163" s="150" t="n">
        <v>2.933449032397625</v>
      </c>
      <c r="H163" s="150" t="n">
        <v>2.413367717709602</v>
      </c>
      <c r="I163" s="150" t="n">
        <v>3.729301496810136</v>
      </c>
      <c r="J163" s="150" t="n">
        <v>3.132474544268364</v>
      </c>
      <c r="K163" s="150" t="n">
        <v>3.950128250112614</v>
      </c>
      <c r="L163" s="150" t="n">
        <v>4.218436463045343</v>
      </c>
      <c r="M163" s="150" t="n">
        <v>3.9183338116066</v>
      </c>
      <c r="N163" s="150" t="n">
        <v>4.591637790993857</v>
      </c>
      <c r="O163" s="150" t="n">
        <v>4.218448298406374</v>
      </c>
      <c r="P163" s="150" t="n">
        <v>3.918345137513774</v>
      </c>
      <c r="Q163" s="150" t="n">
        <v>4.591648799911785</v>
      </c>
      <c r="R163" s="150" t="n">
        <v>1.866648379916711</v>
      </c>
      <c r="S163" s="150" t="n">
        <v>1.866616712646755</v>
      </c>
      <c r="T163" s="150" t="n">
        <v>2.785909662514258</v>
      </c>
      <c r="U163" s="150" t="n">
        <v>2.596631426479127</v>
      </c>
      <c r="V163" s="150" t="n">
        <v>3.051306484962811</v>
      </c>
      <c r="W163" s="150" t="n">
        <v>3.275063111910242</v>
      </c>
      <c r="X163" s="150" t="n">
        <v>3.382508381400652</v>
      </c>
      <c r="Y163" s="150" t="n">
        <v>3.692833237740226</v>
      </c>
      <c r="Z163" s="150" t="n">
        <v>3.275070986639969</v>
      </c>
      <c r="AA163" s="150" t="n">
        <v>3.382515917162146</v>
      </c>
      <c r="AB163" s="150" t="n">
        <v>3.692840562983414</v>
      </c>
    </row>
  </sheetData>
  <autoFilter ref="A9:AB164"/>
  <mergeCells count="2">
    <mergeCell ref="R8:AB8"/>
    <mergeCell ref="G8:Q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20" customWidth="1" min="1" max="1"/>
    <col width="26" customWidth="1" min="2" max="2"/>
    <col width="12" customWidth="1" min="3" max="3"/>
    <col width="12" customWidth="1" min="4" max="4"/>
    <col width="30" customWidth="1" min="5" max="5"/>
    <col width="14" customWidth="1" min="6" max="6"/>
    <col width="22" customWidth="1" min="7" max="7"/>
    <col width="12" customWidth="1" min="8" max="8"/>
    <col width="26" customWidth="1" min="9" max="9"/>
  </cols>
  <sheetData>
    <row r="1">
      <c r="A1" s="18" t="inlineStr">
        <is>
          <t>DOE Terms of Reference – auction lots (Annex B)</t>
        </is>
      </c>
    </row>
    <row r="3">
      <c r="A3" s="5" t="inlineStr">
        <is>
          <t>Lot</t>
        </is>
      </c>
      <c r="B3" s="5" t="inlineStr">
        <is>
          <t>Grid</t>
        </is>
      </c>
      <c r="C3" s="5" t="inlineStr">
        <is>
          <t>Auction capacity</t>
        </is>
      </c>
      <c r="D3" s="5" t="inlineStr">
        <is>
          <t>Minimum offer block</t>
        </is>
      </c>
      <c r="E3" s="5" t="inlineStr">
        <is>
          <t>Capacity factor</t>
        </is>
      </c>
      <c r="F3" s="5" t="inlineStr">
        <is>
          <t>Delivery commencement year</t>
        </is>
      </c>
      <c r="G3" s="5" t="inlineStr">
        <is>
          <t>Supply delivery period</t>
        </is>
      </c>
      <c r="H3" s="5" t="inlineStr">
        <is>
          <t>Delivery hours</t>
        </is>
      </c>
      <c r="I3" s="5" t="inlineStr">
        <is>
          <t>TOR reference</t>
        </is>
      </c>
    </row>
    <row r="4">
      <c r="A4" s="19" t="inlineStr">
        <is>
          <t>A. Existing – Lot 1</t>
        </is>
      </c>
      <c r="B4" s="19" t="inlineStr">
        <is>
          <t>Luzon</t>
        </is>
      </c>
      <c r="C4" s="19" t="inlineStr">
        <is>
          <t>1,400 MW</t>
        </is>
      </c>
      <c r="D4" s="19" t="inlineStr">
        <is>
          <t>250 MW</t>
        </is>
      </c>
      <c r="E4" s="19" t="inlineStr">
        <is>
          <t>38%–42% (mid-merit); 22%–24% (non-mid-merit)</t>
        </is>
      </c>
      <c r="F4" s="19" t="inlineStr">
        <is>
          <t>Commencing 2026</t>
        </is>
      </c>
      <c r="G4" s="19" t="inlineStr">
        <is>
          <t>5 yrs + 5 yrs extension</t>
        </is>
      </c>
      <c r="H4" s="19" t="inlineStr">
        <is>
          <t>14 h / 10 h</t>
        </is>
      </c>
      <c r="I4" s="19" t="inlineStr">
        <is>
          <t>TOR 1.1; 1.2.1.1; 4.2; 18.3</t>
        </is>
      </c>
    </row>
    <row r="5">
      <c r="A5" s="19" t="inlineStr">
        <is>
          <t>A. Existing – Lot 2</t>
        </is>
      </c>
      <c r="B5" s="19" t="inlineStr">
        <is>
          <t>Luzon</t>
        </is>
      </c>
      <c r="C5" s="19" t="inlineStr">
        <is>
          <t>500 MW</t>
        </is>
      </c>
      <c r="D5" s="19" t="inlineStr">
        <is>
          <t>250 MW</t>
        </is>
      </c>
      <c r="E5" s="19" t="inlineStr">
        <is>
          <t>37%–42%</t>
        </is>
      </c>
      <c r="F5" s="19" t="inlineStr">
        <is>
          <t>2027</t>
        </is>
      </c>
      <c r="G5" s="19" t="inlineStr">
        <is>
          <t>10 yrs</t>
        </is>
      </c>
      <c r="H5" s="19" t="inlineStr">
        <is>
          <t>14 h</t>
        </is>
      </c>
      <c r="I5" s="19" t="inlineStr">
        <is>
          <t>TOR 1.1; 1.2.1.2; 4.2</t>
        </is>
      </c>
    </row>
    <row r="6">
      <c r="A6" s="19" t="inlineStr">
        <is>
          <t>B. New-Build</t>
        </is>
      </c>
      <c r="B6" s="19" t="inlineStr">
        <is>
          <t>Luzon</t>
        </is>
      </c>
      <c r="C6" s="19" t="inlineStr">
        <is>
          <t>1,000 MW</t>
        </is>
      </c>
      <c r="D6" s="19" t="inlineStr">
        <is>
          <t>20 MW</t>
        </is>
      </c>
      <c r="E6" s="19" t="inlineStr">
        <is>
          <t>37%–42%</t>
        </is>
      </c>
      <c r="F6" s="19" t="inlineStr">
        <is>
          <t>2031</t>
        </is>
      </c>
      <c r="G6" s="19" t="inlineStr">
        <is>
          <t>20 yrs</t>
        </is>
      </c>
      <c r="H6" s="19" t="inlineStr">
        <is>
          <t>14 h</t>
        </is>
      </c>
      <c r="I6" s="19" t="inlineStr">
        <is>
          <t>TOR 1.1; 1.2.2; 4.2</t>
        </is>
      </c>
    </row>
    <row r="7">
      <c r="A7" s="19" t="inlineStr">
        <is>
          <t>B. New-Build</t>
        </is>
      </c>
      <c r="B7" s="19" t="inlineStr">
        <is>
          <t>Visayas (Cebu and/or Panay)</t>
        </is>
      </c>
      <c r="C7" s="19" t="inlineStr">
        <is>
          <t>440 MW</t>
        </is>
      </c>
      <c r="D7" s="19" t="inlineStr">
        <is>
          <t>20 MW</t>
        </is>
      </c>
      <c r="E7" s="19" t="inlineStr">
        <is>
          <t>37%–42%</t>
        </is>
      </c>
      <c r="F7" s="19" t="inlineStr">
        <is>
          <t>2028</t>
        </is>
      </c>
      <c r="G7" s="19" t="inlineStr">
        <is>
          <t>20 yrs</t>
        </is>
      </c>
      <c r="H7" s="19" t="inlineStr">
        <is>
          <t>14 h</t>
        </is>
      </c>
      <c r="I7" s="19" t="inlineStr">
        <is>
          <t>TOR 1.1; 1.2.2; 4.2</t>
        </is>
      </c>
    </row>
    <row r="8">
      <c r="A8" s="19" t="inlineStr">
        <is>
          <t>B. New-Build</t>
        </is>
      </c>
      <c r="B8" s="19" t="inlineStr">
        <is>
          <t>Visayas (Cebu and/or Panay)</t>
        </is>
      </c>
      <c r="C8" s="19" t="inlineStr">
        <is>
          <t>500 MW</t>
        </is>
      </c>
      <c r="D8" s="19" t="inlineStr">
        <is>
          <t>20 MW</t>
        </is>
      </c>
      <c r="E8" s="19" t="inlineStr">
        <is>
          <t>37%–42%</t>
        </is>
      </c>
      <c r="F8" s="19" t="inlineStr">
        <is>
          <t>2031</t>
        </is>
      </c>
      <c r="G8" s="19" t="inlineStr">
        <is>
          <t>20 yrs</t>
        </is>
      </c>
      <c r="H8" s="19" t="inlineStr">
        <is>
          <t>14 h</t>
        </is>
      </c>
      <c r="I8" s="19" t="inlineStr">
        <is>
          <t>TOR 1.1; 1.2.2; 4.2</t>
        </is>
      </c>
    </row>
    <row r="10" ht="32" customHeight="1">
      <c r="A10" s="2" t="inlineStr">
        <is>
          <t>How the TOR enters the models: capacity factor (Fin42 = 42%, top of band); Lot 1 non-mid-merit energy paid fuel only (TOR 4.2.2); grid (Visayas logistics caps now affect only the Fuel Cost, not the GATP, after the 19 Oct 2026 decision); technology (TOR 2.6 lists CCGT, OCGT, reciprocating engines).</t>
        </is>
      </c>
    </row>
    <row r="11" ht="32" customHeight="1">
      <c r="A11" s="2" t="inlineStr">
        <is>
          <t>Not used for cost recovery: the TOR supply delivery period. Costs are recovered over 30 years (plant economic life, ERC basis).</t>
        </is>
      </c>
    </row>
  </sheetData>
  <mergeCells count="2">
    <mergeCell ref="A10:I10"/>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6" customWidth="1" min="3" max="3"/>
    <col width="16" customWidth="1" min="4" max="4"/>
    <col width="18" customWidth="1" min="5" max="5"/>
    <col width="16" customWidth="1" min="6" max="6"/>
  </cols>
  <sheetData>
    <row r="1">
      <c r="A1" s="18" t="inlineStr">
        <is>
          <t>Monthly capacity factor of the gas plants supplying Meralco</t>
        </is>
      </c>
    </row>
    <row r="2" ht="32" customHeight="1">
      <c r="A2" s="2" t="inlineStr">
        <is>
          <t>CF = kWh purchased by Meralco / (plant capacity x calendar hours). Source: Meralco "Breakdown of Generation Charge" tables, Jan 2024–Sep 2026 (xxxxxxx/*_gc_table.pdf). Santa Rita and San Lorenzo are First Gen plants.</t>
        </is>
      </c>
    </row>
    <row r="4">
      <c r="A4" s="5" t="inlineStr">
        <is>
          <t>Month</t>
        </is>
      </c>
      <c r="B4" s="5" t="inlineStr">
        <is>
          <t>Santa Rita (FGPC)
1,000 MW</t>
        </is>
      </c>
      <c r="C4" s="5" t="inlineStr">
        <is>
          <t>San Lorenzo (FGP)
500 MW</t>
        </is>
      </c>
      <c r="D4" s="5" t="inlineStr">
        <is>
          <t>Ilijan (SPPC)
1,200 MW</t>
        </is>
      </c>
      <c r="E4" s="5" t="inlineStr">
        <is>
          <t>EERI (Batangas CCGT)
1,200 MW</t>
        </is>
      </c>
      <c r="F4" s="5" t="inlineStr">
        <is>
          <t>San Gabriel (FNPC)
414 MW</t>
        </is>
      </c>
    </row>
    <row r="5">
      <c r="A5" s="64" t="inlineStr">
        <is>
          <t>2024-01</t>
        </is>
      </c>
      <c r="B5" s="65" t="n">
        <v>0.8249247325268818</v>
      </c>
      <c r="C5" s="65" t="n">
        <v>0.8064510268817204</v>
      </c>
      <c r="D5" s="65" t="n">
        <v>0.6934282930107527</v>
      </c>
      <c r="E5" s="65" t="n"/>
      <c r="F5" s="65" t="n">
        <v>0.6291175848007896</v>
      </c>
    </row>
    <row r="6">
      <c r="A6" s="64" t="inlineStr">
        <is>
          <t>2024-02</t>
        </is>
      </c>
      <c r="B6" s="65" t="n">
        <v>0.7524266566091954</v>
      </c>
      <c r="C6" s="65" t="n">
        <v>0.7363509913793103</v>
      </c>
      <c r="D6" s="65" t="n">
        <v>0.7741367337164751</v>
      </c>
      <c r="E6" s="65" t="n"/>
      <c r="F6" s="65" t="n">
        <v>0.6533885279582431</v>
      </c>
    </row>
    <row r="7">
      <c r="A7" s="64" t="inlineStr">
        <is>
          <t>2024-03</t>
        </is>
      </c>
      <c r="B7" s="65" t="n">
        <v>0.7083404731182796</v>
      </c>
      <c r="C7" s="65" t="n">
        <v>0.5075786021505376</v>
      </c>
      <c r="D7" s="65" t="n">
        <v>0.6034468548387096</v>
      </c>
      <c r="E7" s="65" t="n"/>
      <c r="F7" s="65" t="n">
        <v>0.5203402972572853</v>
      </c>
    </row>
    <row r="8">
      <c r="A8" s="64" t="inlineStr">
        <is>
          <t>2024-04</t>
        </is>
      </c>
      <c r="B8" s="65" t="n">
        <v>0.6939846930555555</v>
      </c>
      <c r="C8" s="65" t="n">
        <v>0.7620926527777777</v>
      </c>
      <c r="D8" s="65" t="n">
        <v>0.5880307407407407</v>
      </c>
      <c r="E8" s="65" t="n"/>
      <c r="F8" s="65" t="n">
        <v>0.008582742887815352</v>
      </c>
    </row>
    <row r="9">
      <c r="A9" s="64" t="inlineStr">
        <is>
          <t>2024-05</t>
        </is>
      </c>
      <c r="B9" s="65" t="n">
        <v>0.8183485564516129</v>
      </c>
      <c r="C9" s="65" t="n">
        <v>0.9895598924731184</v>
      </c>
      <c r="D9" s="65" t="n">
        <v>0.6542032885304659</v>
      </c>
      <c r="E9" s="65" t="n"/>
      <c r="F9" s="65" t="n"/>
    </row>
    <row r="10">
      <c r="A10" s="64" t="inlineStr">
        <is>
          <t>2024-06</t>
        </is>
      </c>
      <c r="B10" s="65" t="n">
        <v>0.8588074625000001</v>
      </c>
      <c r="C10" s="65" t="n">
        <v>1.003024613888889</v>
      </c>
      <c r="D10" s="65" t="n">
        <v>0.8717203379629629</v>
      </c>
      <c r="E10" s="65" t="n"/>
      <c r="F10" s="65" t="n"/>
    </row>
    <row r="11">
      <c r="A11" s="64" t="inlineStr">
        <is>
          <t>2024-07</t>
        </is>
      </c>
      <c r="B11" s="65" t="n">
        <v>0.7714141599462365</v>
      </c>
      <c r="C11" s="65" t="n">
        <v>0.6900661344086022</v>
      </c>
      <c r="D11" s="65" t="n">
        <v>0.729548607750896</v>
      </c>
      <c r="E11" s="65" t="n"/>
      <c r="F11" s="65" t="n"/>
    </row>
    <row r="12">
      <c r="A12" s="64" t="inlineStr">
        <is>
          <t>2024-08</t>
        </is>
      </c>
      <c r="B12" s="65" t="n">
        <v>0.7252305403225806</v>
      </c>
      <c r="C12" s="65" t="n">
        <v>0.7572308467741935</v>
      </c>
      <c r="D12" s="65" t="n">
        <v>0.754099211469534</v>
      </c>
      <c r="E12" s="65" t="n"/>
      <c r="F12" s="65" t="n"/>
    </row>
    <row r="13">
      <c r="A13" s="64" t="inlineStr">
        <is>
          <t>2024-09</t>
        </is>
      </c>
      <c r="B13" s="65" t="n">
        <v>0.5162772319444444</v>
      </c>
      <c r="C13" s="65" t="n">
        <v>0.804378736111111</v>
      </c>
      <c r="D13" s="65" t="n">
        <v>0.816862295138889</v>
      </c>
      <c r="E13" s="65" t="n"/>
      <c r="F13" s="65" t="n"/>
    </row>
    <row r="14">
      <c r="A14" s="64" t="inlineStr">
        <is>
          <t>2024-10</t>
        </is>
      </c>
      <c r="B14" s="65" t="n">
        <v>0.495830125</v>
      </c>
      <c r="C14" s="65" t="n">
        <v>0.6862329569892474</v>
      </c>
      <c r="D14" s="65" t="n">
        <v>0.7350701993727599</v>
      </c>
      <c r="E14" s="65" t="n"/>
      <c r="F14" s="65" t="n"/>
    </row>
    <row r="15">
      <c r="A15" s="64" t="inlineStr">
        <is>
          <t>2024-11</t>
        </is>
      </c>
      <c r="B15" s="65" t="n">
        <v>0.4489963930555556</v>
      </c>
      <c r="C15" s="65" t="n">
        <v>0.6572768361111111</v>
      </c>
      <c r="D15" s="65" t="n">
        <v>0.6842788784722222</v>
      </c>
      <c r="E15" s="65" t="n"/>
      <c r="F15" s="65" t="n"/>
    </row>
    <row r="16">
      <c r="A16" s="64" t="inlineStr">
        <is>
          <t>2024-12</t>
        </is>
      </c>
      <c r="B16" s="65" t="n">
        <v>0.5552994327956989</v>
      </c>
      <c r="C16" s="65" t="n">
        <v>0.7334007930107526</v>
      </c>
      <c r="D16" s="65" t="n">
        <v>0.6539660461469534</v>
      </c>
      <c r="E16" s="65" t="n"/>
      <c r="F16" s="65" t="n"/>
    </row>
    <row r="17">
      <c r="A17" s="64" t="inlineStr">
        <is>
          <t>2025-01</t>
        </is>
      </c>
      <c r="B17" s="65" t="n">
        <v>0.6466486774193548</v>
      </c>
      <c r="C17" s="65" t="n">
        <v>0.6211733897849462</v>
      </c>
      <c r="D17" s="65" t="n">
        <v>0.4931407672491039</v>
      </c>
      <c r="E17" s="65" t="n"/>
      <c r="F17" s="65" t="n"/>
    </row>
    <row r="18">
      <c r="A18" s="64" t="inlineStr">
        <is>
          <t>2025-02</t>
        </is>
      </c>
      <c r="B18" s="65" t="n">
        <v>0.6950886800595238</v>
      </c>
      <c r="C18" s="65" t="n">
        <v>0.8032270059523808</v>
      </c>
      <c r="D18" s="65" t="n">
        <v>0.5255048958333333</v>
      </c>
      <c r="E18" s="65" t="n">
        <v>0.3264111408730159</v>
      </c>
      <c r="F18" s="65" t="n"/>
    </row>
    <row r="19">
      <c r="A19" s="64" t="inlineStr">
        <is>
          <t>2025-03</t>
        </is>
      </c>
      <c r="B19" s="65" t="n">
        <v>0.7043201451612904</v>
      </c>
      <c r="C19" s="65" t="n">
        <v>0.7242651639784946</v>
      </c>
      <c r="D19" s="65" t="n">
        <v>0.3855401993727599</v>
      </c>
      <c r="E19" s="65" t="n">
        <v>0.4682781978046595</v>
      </c>
      <c r="F19" s="65" t="n"/>
    </row>
    <row r="20">
      <c r="A20" s="64" t="inlineStr">
        <is>
          <t>2025-04</t>
        </is>
      </c>
      <c r="B20" s="65" t="n">
        <v>0.8030816472222222</v>
      </c>
      <c r="C20" s="65" t="n">
        <v>0.5113471972222222</v>
      </c>
      <c r="D20" s="65" t="n">
        <v>0.6580150509259258</v>
      </c>
      <c r="E20" s="65" t="n">
        <v>0.2812489907407407</v>
      </c>
      <c r="F20" s="65" t="n"/>
    </row>
    <row r="21">
      <c r="A21" s="64" t="inlineStr">
        <is>
          <t>2025-05</t>
        </is>
      </c>
      <c r="B21" s="65" t="n">
        <v>0.8257072352150537</v>
      </c>
      <c r="C21" s="65" t="n">
        <v>0.6889530107526881</v>
      </c>
      <c r="D21" s="65" t="n">
        <v>0.7874707941308244</v>
      </c>
      <c r="E21" s="65" t="n">
        <v>0.2994636111111111</v>
      </c>
      <c r="F21" s="65" t="n"/>
    </row>
    <row r="22">
      <c r="A22" s="64" t="inlineStr">
        <is>
          <t>2025-06</t>
        </is>
      </c>
      <c r="B22" s="65" t="n">
        <v>0.8322731250000001</v>
      </c>
      <c r="C22" s="65" t="n">
        <v>0.8721603527777778</v>
      </c>
      <c r="D22" s="65" t="n">
        <v>0.7651921388888889</v>
      </c>
      <c r="E22" s="65" t="n">
        <v>0.4364089363425926</v>
      </c>
      <c r="F22" s="65" t="n"/>
    </row>
    <row r="23">
      <c r="A23" s="64" t="inlineStr">
        <is>
          <t>2025-07</t>
        </is>
      </c>
      <c r="B23" s="65" t="n">
        <v>0.8194029556451613</v>
      </c>
      <c r="C23" s="65" t="n">
        <v>0.8318149032258064</v>
      </c>
      <c r="D23" s="65" t="n">
        <v>0.7136755712365592</v>
      </c>
      <c r="E23" s="65" t="n">
        <v>0.5291183960573477</v>
      </c>
      <c r="F23" s="65" t="n"/>
    </row>
    <row r="24">
      <c r="A24" s="64" t="inlineStr">
        <is>
          <t>2025-08</t>
        </is>
      </c>
      <c r="B24" s="65" t="n">
        <v>0.6871939650537634</v>
      </c>
      <c r="C24" s="65" t="n">
        <v>0.6899811962365592</v>
      </c>
      <c r="D24" s="65" t="n">
        <v>0.6983752945788531</v>
      </c>
      <c r="E24" s="65" t="n">
        <v>0.7052546337365592</v>
      </c>
      <c r="F24" s="65" t="n"/>
    </row>
    <row r="25">
      <c r="A25" s="64" t="inlineStr">
        <is>
          <t>2025-09</t>
        </is>
      </c>
      <c r="B25" s="65" t="n">
        <v>0.8738243180555555</v>
      </c>
      <c r="C25" s="65" t="n">
        <v>0.8766244333333333</v>
      </c>
      <c r="D25" s="65" t="n">
        <v>0.7353498379629629</v>
      </c>
      <c r="E25" s="65" t="n">
        <v>0.7557529050925926</v>
      </c>
      <c r="F25" s="65" t="n"/>
    </row>
    <row r="26">
      <c r="A26" s="64" t="inlineStr">
        <is>
          <t>2025-10</t>
        </is>
      </c>
      <c r="B26" s="65" t="n">
        <v>0.5316588427419355</v>
      </c>
      <c r="C26" s="65" t="n">
        <v>0.6753871397849462</v>
      </c>
      <c r="D26" s="65" t="n">
        <v>0.5756677755376344</v>
      </c>
      <c r="E26" s="65" t="n">
        <v>0.6549597771057348</v>
      </c>
      <c r="F26" s="65" t="n"/>
    </row>
    <row r="27">
      <c r="A27" s="64" t="inlineStr">
        <is>
          <t>2025-11</t>
        </is>
      </c>
      <c r="B27" s="65" t="n">
        <v>0.4943575555555556</v>
      </c>
      <c r="C27" s="65" t="n">
        <v>0.6864566972222222</v>
      </c>
      <c r="D27" s="65" t="n">
        <v>0.6729795972222222</v>
      </c>
      <c r="E27" s="65" t="n">
        <v>0.6437740277777778</v>
      </c>
      <c r="F27" s="65" t="n"/>
    </row>
    <row r="28">
      <c r="A28" s="64" t="inlineStr">
        <is>
          <t>2025-12</t>
        </is>
      </c>
      <c r="B28" s="65" t="n">
        <v>0.4912166384408602</v>
      </c>
      <c r="C28" s="65" t="n">
        <v>0.7433352795698924</v>
      </c>
      <c r="D28" s="65" t="n">
        <v>0.7373508613351255</v>
      </c>
      <c r="E28" s="65" t="n">
        <v>0.6968377072132615</v>
      </c>
      <c r="F28" s="65" t="n"/>
    </row>
    <row r="29">
      <c r="A29" s="64" t="inlineStr">
        <is>
          <t>2026-01</t>
        </is>
      </c>
      <c r="B29" s="65" t="n">
        <v>0.4774500551075269</v>
      </c>
      <c r="C29" s="65" t="n">
        <v>0.6929112365591398</v>
      </c>
      <c r="D29" s="65" t="n">
        <v>0.6010515692204301</v>
      </c>
      <c r="E29" s="65" t="n">
        <v>0.4571908624551971</v>
      </c>
      <c r="F29" s="65" t="n"/>
    </row>
    <row r="30">
      <c r="A30" s="64" t="inlineStr">
        <is>
          <t>2026-02</t>
        </is>
      </c>
      <c r="B30" s="65" t="n">
        <v>0.7011783050595238</v>
      </c>
      <c r="C30" s="65" t="n">
        <v>0.5254574166666667</v>
      </c>
      <c r="D30" s="65" t="n">
        <v>0.4452992162698413</v>
      </c>
      <c r="E30" s="65" t="n">
        <v>0.1977584188988095</v>
      </c>
      <c r="F30" s="65" t="n"/>
    </row>
    <row r="31">
      <c r="A31" s="64" t="inlineStr">
        <is>
          <t>2026-03</t>
        </is>
      </c>
      <c r="B31" s="65" t="n">
        <v>0.6069991801075268</v>
      </c>
      <c r="C31" s="65" t="n">
        <v>0.3503256370967742</v>
      </c>
      <c r="D31" s="65" t="n">
        <v>0.7200709240591397</v>
      </c>
      <c r="E31" s="65" t="n">
        <v>0.4112962903225806</v>
      </c>
      <c r="F31" s="65" t="n"/>
    </row>
    <row r="32">
      <c r="A32" s="64" t="inlineStr">
        <is>
          <t>2026-04</t>
        </is>
      </c>
      <c r="B32" s="65" t="n">
        <v>0.5826760194444445</v>
      </c>
      <c r="C32" s="65" t="n">
        <v>0.3115862611111111</v>
      </c>
      <c r="D32" s="65" t="n">
        <v>0.6270540833333333</v>
      </c>
      <c r="E32" s="65" t="n">
        <v>0.4167965277777778</v>
      </c>
      <c r="F32" s="65" t="n"/>
    </row>
    <row r="33">
      <c r="A33" s="64" t="inlineStr">
        <is>
          <t>2026-05</t>
        </is>
      </c>
      <c r="B33" s="65" t="n">
        <v>0.6254726263440861</v>
      </c>
      <c r="C33" s="65" t="n">
        <v>0.499961002688172</v>
      </c>
      <c r="D33" s="65" t="n">
        <v>0.5939667697132617</v>
      </c>
      <c r="E33" s="65" t="n">
        <v>0.4783284610215054</v>
      </c>
      <c r="F33" s="65" t="n"/>
    </row>
    <row r="34">
      <c r="A34" s="64" t="inlineStr">
        <is>
          <t>2026-06</t>
        </is>
      </c>
      <c r="B34" s="65" t="n">
        <v>0.6439902750000001</v>
      </c>
      <c r="C34" s="65" t="n">
        <v>0.8246677083333334</v>
      </c>
      <c r="D34" s="65" t="n">
        <v>0.5944195925925926</v>
      </c>
      <c r="E34" s="65" t="n">
        <v>0.5414878541666667</v>
      </c>
      <c r="F34" s="65" t="n"/>
    </row>
    <row r="35">
      <c r="A35" s="64" t="inlineStr">
        <is>
          <t>2026-07</t>
        </is>
      </c>
      <c r="B35" s="65" t="n">
        <v>0.6384171639784946</v>
      </c>
      <c r="C35" s="65" t="n">
        <v>0.8185093548387097</v>
      </c>
      <c r="D35" s="65" t="n">
        <v>0.605019982078853</v>
      </c>
      <c r="E35" s="65" t="n">
        <v>0.550223710797491</v>
      </c>
      <c r="F35" s="65" t="n"/>
    </row>
    <row r="36">
      <c r="A36" s="64" t="inlineStr">
        <is>
          <t>2026-08</t>
        </is>
      </c>
      <c r="B36" s="65" t="n">
        <v>0.5883290524193548</v>
      </c>
      <c r="C36" s="65" t="n">
        <v>0.7810115618279569</v>
      </c>
      <c r="D36" s="65" t="n">
        <v>0.5163016252240143</v>
      </c>
      <c r="E36" s="65" t="n">
        <v>0.5240360931899641</v>
      </c>
      <c r="F36" s="65" t="n"/>
    </row>
    <row r="37">
      <c r="A37" s="64" t="inlineStr">
        <is>
          <t>2026-09</t>
        </is>
      </c>
      <c r="B37" s="65" t="n">
        <v>0.5897080138888889</v>
      </c>
      <c r="C37" s="65" t="n">
        <v>0.7861521305555556</v>
      </c>
      <c r="D37" s="65" t="n">
        <v>0.4575007638888889</v>
      </c>
      <c r="E37" s="65" t="n">
        <v>0.4716352893518519</v>
      </c>
      <c r="F37" s="65" t="n"/>
    </row>
    <row r="39">
      <c r="A39" s="32" t="inlineStr">
        <is>
          <t>Santa Rita (First Gen)</t>
        </is>
      </c>
      <c r="E39" s="66" t="n">
        <v>0.6671947131059097</v>
      </c>
    </row>
    <row r="40">
      <c r="A40" s="32" t="inlineStr">
        <is>
          <t>San Lorenzo (First Gen)</t>
        </is>
      </c>
      <c r="E40" s="66" t="n">
        <v>0.7105209105245683</v>
      </c>
    </row>
    <row r="41">
      <c r="A41" s="32" t="inlineStr">
        <is>
          <t>Ilijan (SPPC)</t>
        </is>
      </c>
      <c r="E41" s="66" t="n">
        <v>0.6509639577799912</v>
      </c>
    </row>
    <row r="42">
      <c r="A42" s="32" t="inlineStr">
        <is>
          <t>EERI (from Feb 2025)</t>
        </is>
      </c>
      <c r="E42" s="66" t="n">
        <v>0.4944225759083836</v>
      </c>
    </row>
    <row r="43">
      <c r="A43" s="32" t="inlineStr">
        <is>
          <t>Existing fleet (Santa Rita + San Lorenzo + Ilijan) → Fin90 Lots 1–2</t>
        </is>
      </c>
      <c r="E43" s="66" t="n">
        <v>0.6680044139645122</v>
      </c>
    </row>
    <row r="44">
      <c r="A44" s="32" t="inlineStr">
        <is>
          <t>Whole fleet incl. EERI → Fin90 new-build</t>
        </is>
      </c>
      <c r="E44" s="66" t="n">
        <v>0.6312409193029385</v>
      </c>
    </row>
  </sheetData>
  <mergeCells count="7">
    <mergeCell ref="A2:F2"/>
    <mergeCell ref="A40:D40"/>
    <mergeCell ref="A39:D39"/>
    <mergeCell ref="A43:D43"/>
    <mergeCell ref="A41:D41"/>
    <mergeCell ref="A42:D42"/>
    <mergeCell ref="A44:D4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5" customWidth="1" min="1" max="1"/>
    <col width="60" customWidth="1" min="2" max="2"/>
    <col width="60" customWidth="1" min="3" max="3"/>
  </cols>
  <sheetData>
    <row r="1">
      <c r="A1" s="18" t="inlineStr">
        <is>
          <t>Reference for every assumption</t>
        </is>
      </c>
    </row>
    <row r="3">
      <c r="A3" s="67" t="inlineStr">
        <is>
          <t>Assumption</t>
        </is>
      </c>
      <c r="B3" s="67" t="inlineStr">
        <is>
          <t>Source</t>
        </is>
      </c>
      <c r="C3" s="67" t="inlineStr">
        <is>
          <t>File / location</t>
        </is>
      </c>
    </row>
    <row r="4">
      <c r="A4" s="19" t="inlineStr">
        <is>
          <t>Lots, capacity factor bands, delivery year, supply period</t>
        </is>
      </c>
      <c r="B4" s="19" t="inlineStr">
        <is>
          <t>DOE Terms of Reference (Annex B), Sec. 1.1, 1.2, 4.2, 18.3</t>
        </is>
      </c>
      <c r="C4" s="19" t="inlineStr">
        <is>
          <t>GAIR RCM/Terms of Reference/Annex B - Terms of Reference.pdf</t>
        </is>
      </c>
    </row>
    <row r="5">
      <c r="A5" s="19" t="inlineStr">
        <is>
          <t>30-year cost recovery; zero construction for existing plants</t>
        </is>
      </c>
      <c r="B5" s="19" t="inlineStr">
        <is>
          <t>ERC basis (plant economic life); instruction of 20 Oct 2026; GAIR Table 1</t>
        </is>
      </c>
      <c r="C5" s="19" t="inlineStr">
        <is>
          <t>franz_som_working draft_1.docx</t>
        </is>
      </c>
    </row>
    <row r="6">
      <c r="A6" s="19" t="inlineStr">
        <is>
          <t>Historical capacity factor (Fin90)</t>
        </is>
      </c>
      <c r="B6" s="19" t="inlineStr">
        <is>
          <t>Meralco Breakdown of Generation Charge, Jan 2024–Sep 2026 (First Gen Santa Rita, San Lorenzo; SPPC Ilijan; EERI)</t>
        </is>
      </c>
      <c r="C6" s="19" t="inlineStr">
        <is>
          <t>xxxxxxx/*_gc_table.pdf</t>
        </is>
      </c>
    </row>
    <row r="7">
      <c r="A7" s="19" t="inlineStr">
        <is>
          <t>Capital cost, fixed and variable O&amp;M, heat rate, construction, unit size</t>
        </is>
      </c>
      <c r="B7" s="19" t="inlineStr">
        <is>
          <t>Draft Resolution 2 values (DOE/EPC 2026 benchmarks, LTSA, cheat sheet)</t>
        </is>
      </c>
      <c r="C7" s="19" t="inlineStr">
        <is>
          <t>claudenumbers/01_master_numbers_cheat_sheet.md; whisper/scripts/cases.py</t>
        </is>
      </c>
    </row>
    <row r="8">
      <c r="A8" s="19" t="inlineStr">
        <is>
          <t>Lazard comparison (CCGT capex, O&amp;M, heat rate)</t>
        </is>
      </c>
      <c r="B8" s="19" t="inlineStr">
        <is>
          <t>Lazard LCOE v19 (June 2026) as cited in the GAIR workbook</t>
        </is>
      </c>
      <c r="C8" s="19" t="inlineStr">
        <is>
          <t>mid_merit_gas_rates.xlsx, O&amp;M Rebasing tab</t>
        </is>
      </c>
    </row>
    <row r="9">
      <c r="A9" s="19" t="inlineStr">
        <is>
          <t>First Gen historical O&amp;M (Santa Rita / San Lorenzo 1996 PPA, re-based May 2026)</t>
        </is>
      </c>
      <c r="B9" s="19" t="inlineStr">
        <is>
          <t>ERC Case No. 2004-74 PPA rates, CPI re-basing</t>
        </is>
      </c>
      <c r="C9" s="19" t="inlineStr">
        <is>
          <t>mid_merit_gas_rates.xlsx, O&amp;M Rebasing tab</t>
        </is>
      </c>
    </row>
    <row r="10">
      <c r="A10" s="19" t="inlineStr">
        <is>
          <t>Existing-plant capital cost US$450/kW; brownfield US$600/kW (San Gabriel, EERI)</t>
        </is>
      </c>
      <c r="B10" s="19" t="inlineStr">
        <is>
          <t>GAIR workbook / cheat sheet</t>
        </is>
      </c>
      <c r="C10" s="19" t="inlineStr">
        <is>
          <t>mid_merit_gas_rates.xlsx; cheat sheet</t>
        </is>
      </c>
    </row>
    <row r="11">
      <c r="A11" s="19" t="inlineStr">
        <is>
          <t>Financing: 70:30, Kd 8%, 15-yr tenor, Re 14%</t>
        </is>
      </c>
      <c r="B11" s="19" t="inlineStr">
        <is>
          <t>Draft Resolution 2 (Annex A.9–A.12)</t>
        </is>
      </c>
      <c r="C11" s="19" t="inlineStr">
        <is>
          <t>cheat sheet; whisper/scripts/engine.py</t>
        </is>
      </c>
    </row>
    <row r="12">
      <c r="A12" s="19" t="inlineStr">
        <is>
          <t>Logistics caps (CLLC)</t>
        </is>
      </c>
      <c r="B12" s="19" t="inlineStr">
        <is>
          <t>Draft Resolution 2 caps; BOG removed per working Rules Sec. 17</t>
        </is>
      </c>
      <c r="C12" s="19" t="inlineStr">
        <is>
          <t>cases.py; franz_som_working draft_1.docx</t>
        </is>
      </c>
    </row>
    <row r="13">
      <c r="A13" s="19" t="inlineStr">
        <is>
          <t>PhP/US$ 62.756</t>
        </is>
      </c>
      <c r="B13" s="19" t="inlineStr">
        <is>
          <t>BSP reference rate, 25 Sep 2026</t>
        </is>
      </c>
      <c r="C13" s="19" t="inlineStr">
        <is>
          <t>whisper/scripts/cases.py</t>
        </is>
      </c>
    </row>
    <row r="14">
      <c r="A14" s="19" t="inlineStr">
        <is>
          <t>Taxes (CIT 25%, VAT 12%, RPT 2%, LBT 1%, WHT, GRT, DST)</t>
        </is>
      </c>
      <c r="B14" s="19" t="inlineStr">
        <is>
          <t>CREATE Act (RA 11534), NIRC, LGC — model defaults</t>
        </is>
      </c>
      <c r="C14" s="19" t="inlineStr">
        <is>
          <t>whisper/ERC Mid-Merit Financial Model.xlsm (Sensitivity Analysis)</t>
        </is>
      </c>
    </row>
    <row r="15">
      <c r="A15" s="19" t="inlineStr">
        <is>
          <t>ER 1-94 PhP 0.03/kWh</t>
        </is>
      </c>
      <c r="B15" s="19" t="inlineStr">
        <is>
          <t>DOE DC2025-10-0023; GAIR 8.8.3</t>
        </is>
      </c>
      <c r="C15" s="19" t="inlineStr">
        <is>
          <t>naruto C90</t>
        </is>
      </c>
    </row>
    <row r="16">
      <c r="A16" s="19" t="inlineStr">
        <is>
          <t>Model template</t>
        </is>
      </c>
      <c r="B16" s="19" t="inlineStr">
        <is>
          <t>naruto.xlsm (blank ERC Mid-Merit Financial Model)</t>
        </is>
      </c>
      <c r="C16" s="19" t="inlineStr">
        <is>
          <t>GAIR RCM/whisper/naruto.xlsm</t>
        </is>
      </c>
    </row>
    <row r="17">
      <c r="A17" s="19" t="inlineStr">
        <is>
          <t>Capital cost (working assumption, 20 Oct 2026, market +25%): existing CCGT US$600/kW; new CCGT US$1,500/kW, gas engine US$1,375/kW, OCGT US$875/kW</t>
        </is>
      </c>
      <c r="B17" s="19" t="inlineStr">
        <is>
          <t>Market-level working values raised 20 Oct 2026 (+25%, EPC and turbine cost inflation), in response to Wärtsilä and Quezon Power comments (GAIR matrix rows 119, 412); to be sourced in the Reference Parameters Resolution</t>
        </is>
      </c>
      <c r="C17" s="19" t="inlineStr">
        <is>
          <t>models Fin42/Fin90, cell O34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2026-10-19T22:49:47Z</dcterms:created>
  <dcterms:modified xmlns:dcterms="http://purl.org/dc/terms/" xmlns:xsi="http://www.w3.org/2001/XMLSchema-instance" xsi:type="dcterms:W3CDTF">2026-10-20T07:09:35Z</dcterms:modified>
</cp:coreProperties>
</file>